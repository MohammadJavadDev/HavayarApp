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Uploads\SizingExcels\"/>
    </mc:Choice>
  </mc:AlternateContent>
  <bookViews>
    <workbookView xWindow="-120" yWindow="-120" windowWidth="29040" windowHeight="15840" firstSheet="1" activeTab="2"/>
  </bookViews>
  <sheets>
    <sheet name="Equipment Selection" sheetId="1" r:id="rId1"/>
    <sheet name="Datasheet" sheetId="11" r:id="rId2"/>
    <sheet name="Evaluation Warning" sheetId="12" r:id="rId3"/>
  </sheets>
  <externalReferences>
    <externalReference r:id="rId4"/>
  </externalReferences>
  <definedNames>
    <definedName name="Havayar.N2.Generator.Adsorbent.Weight">Table6[Adsorbent Weight, kg]</definedName>
    <definedName name="Havayar.N2.Generator.Dimensions">Table6[[#All],[Generator Dimensions]]</definedName>
    <definedName name="Havayar.N2.Generator.Models">Table6[N2 Model-Havayar]</definedName>
    <definedName name="Havayar.N2.Generator.Towers.Net.Volume">Table6[Towers Net Volume, Lit]</definedName>
    <definedName name="Havayar.N2.Generator.Volume">Table6[Adsorbent Volume, Lit]</definedName>
    <definedName name="Havayar.Receiver.Capacity">Table12[Actual Capacity]</definedName>
    <definedName name="Havayar.Receiver.Models">Table12[Model]</definedName>
    <definedName name="Oxymat.N2.Generator.Adsorbent.Weight">Table3[Adsorbent Weight, kg]</definedName>
    <definedName name="Oxymat.N2.Generator.Dimensions">Table3[Generator Dimensions]</definedName>
    <definedName name="Oxymat.N2.Generator.Models">Table3[N2 Model-Oxymat]</definedName>
    <definedName name="Oxymat.N2.Generator.Towers.Net.Volume">Table3[Towers Net Volume, Lit]</definedName>
    <definedName name="Oxymat.N2.Generator.Volume">Table3[Adsorbent Volume, Lit]</definedName>
    <definedName name="_xlnm.Print_Area" localSheetId="1">Datasheet!$A$1:$U$48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14" i="11" l="1"/>
  <c r="O14" i="11"/>
  <c r="F14" i="11"/>
  <c r="G8" i="11"/>
  <c r="G7" i="11"/>
  <c r="D6" i="11"/>
  <c r="A6" i="1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D5" i="11"/>
  <c r="A5" i="11"/>
  <c r="P2" i="11"/>
  <c r="P1" i="11"/>
  <c r="G1" i="11"/>
  <c r="L82" i="1"/>
  <c r="G82" i="1" s="1"/>
  <c r="H82" i="1" s="1"/>
  <c r="L81" i="1"/>
  <c r="G81" i="1" s="1"/>
  <c r="H81" i="1" s="1"/>
  <c r="L80" i="1"/>
  <c r="G80" i="1" s="1"/>
  <c r="H80" i="1" s="1"/>
  <c r="L79" i="1"/>
  <c r="G79" i="1" s="1"/>
  <c r="H79" i="1" s="1"/>
  <c r="L78" i="1"/>
  <c r="G78" i="1" s="1"/>
  <c r="H78" i="1" s="1"/>
  <c r="L77" i="1"/>
  <c r="G77" i="1" s="1"/>
  <c r="H77" i="1" s="1"/>
  <c r="L76" i="1"/>
  <c r="G76" i="1" s="1"/>
  <c r="H76" i="1" s="1"/>
  <c r="L75" i="1"/>
  <c r="G75" i="1" s="1"/>
  <c r="H75" i="1" s="1"/>
  <c r="L74" i="1"/>
  <c r="G74" i="1" s="1"/>
  <c r="H74" i="1" s="1"/>
  <c r="L73" i="1"/>
  <c r="G73" i="1" s="1"/>
  <c r="H73" i="1" s="1"/>
  <c r="L72" i="1"/>
  <c r="G72" i="1" s="1"/>
  <c r="H72" i="1" s="1"/>
  <c r="L71" i="1"/>
  <c r="G71" i="1" s="1"/>
  <c r="H71" i="1" s="1"/>
  <c r="L70" i="1"/>
  <c r="G70" i="1" s="1"/>
  <c r="H70" i="1" s="1"/>
  <c r="L69" i="1"/>
  <c r="G69" i="1" s="1"/>
  <c r="H69" i="1" s="1"/>
  <c r="L68" i="1"/>
  <c r="G68" i="1" s="1"/>
  <c r="H68" i="1" s="1"/>
  <c r="L67" i="1"/>
  <c r="G67" i="1" s="1"/>
  <c r="H67" i="1" s="1"/>
  <c r="L64" i="1"/>
  <c r="G64" i="1" s="1"/>
  <c r="H64" i="1" s="1"/>
  <c r="L63" i="1"/>
  <c r="G63" i="1" s="1"/>
  <c r="H63" i="1" s="1"/>
  <c r="L62" i="1"/>
  <c r="G62" i="1" s="1"/>
  <c r="H62" i="1" s="1"/>
  <c r="L61" i="1"/>
  <c r="G61" i="1" s="1"/>
  <c r="H61" i="1" s="1"/>
  <c r="L60" i="1"/>
  <c r="G60" i="1" s="1"/>
  <c r="H60" i="1" s="1"/>
  <c r="L59" i="1"/>
  <c r="G59" i="1" s="1"/>
  <c r="H59" i="1" s="1"/>
  <c r="L58" i="1"/>
  <c r="G58" i="1" s="1"/>
  <c r="H58" i="1" s="1"/>
  <c r="L57" i="1"/>
  <c r="G57" i="1" s="1"/>
  <c r="H57" i="1" s="1"/>
  <c r="L56" i="1"/>
  <c r="G56" i="1" s="1"/>
  <c r="H56" i="1" s="1"/>
  <c r="L55" i="1"/>
  <c r="G55" i="1" s="1"/>
  <c r="H55" i="1" s="1"/>
  <c r="L54" i="1"/>
  <c r="G54" i="1" s="1"/>
  <c r="H54" i="1" s="1"/>
  <c r="L53" i="1"/>
  <c r="G53" i="1" s="1"/>
  <c r="H53" i="1" s="1"/>
  <c r="L52" i="1"/>
  <c r="G52" i="1" s="1"/>
  <c r="H52" i="1" s="1"/>
  <c r="L51" i="1"/>
  <c r="G51" i="1" s="1"/>
  <c r="H51" i="1" s="1"/>
  <c r="C41" i="1"/>
  <c r="C39" i="1"/>
  <c r="D32" i="1"/>
  <c r="C24" i="1"/>
  <c r="D23" i="1"/>
  <c r="D16" i="1"/>
  <c r="D18" i="1" s="1"/>
  <c r="D15" i="1"/>
  <c r="D14" i="1"/>
  <c r="D13" i="1"/>
  <c r="E10" i="1"/>
  <c r="E8" i="1"/>
  <c r="E4" i="1"/>
  <c r="D3" i="1"/>
  <c r="D12" i="1" s="1"/>
  <c r="J14" i="11" s="1"/>
  <c r="F15" i="11"/>
  <c r="T15" i="11" l="1"/>
  <c r="M15" i="11"/>
  <c r="D19" i="1"/>
  <c r="D17" i="1"/>
  <c r="D21" i="1" l="1"/>
  <c r="D25" i="1" s="1"/>
  <c r="D20" i="1"/>
  <c r="D24" i="1" s="1"/>
  <c r="D27" i="1" s="1"/>
  <c r="D26" i="1" l="1"/>
  <c r="D28" i="1"/>
  <c r="D31" i="1"/>
  <c r="C33" i="1" l="1"/>
  <c r="E9" i="1"/>
  <c r="D34" i="1"/>
  <c r="D35" i="1"/>
  <c r="D33" i="1"/>
  <c r="D30" i="1"/>
  <c r="D36" i="1" l="1"/>
  <c r="L13" i="11"/>
  <c r="D40" i="1" l="1"/>
  <c r="D37" i="1"/>
  <c r="G9" i="11"/>
  <c r="D38" i="1" l="1"/>
  <c r="G10" i="11"/>
  <c r="G11" i="11"/>
  <c r="D41" i="1"/>
  <c r="G12" i="11" l="1"/>
  <c r="D39" i="1"/>
</calcChain>
</file>

<file path=xl/sharedStrings.xml><?xml version="1.0" encoding="utf-8"?>
<sst xmlns="http://schemas.openxmlformats.org/spreadsheetml/2006/main" count="318" uniqueCount="265">
  <si>
    <t>Nm3/hr</t>
  </si>
  <si>
    <t>%</t>
  </si>
  <si>
    <t>barg</t>
  </si>
  <si>
    <t>°C</t>
  </si>
  <si>
    <t>-</t>
  </si>
  <si>
    <t>CMS Manufacturer</t>
  </si>
  <si>
    <t>Adsorbent Weight, kg</t>
  </si>
  <si>
    <t>N2 Model-Oxymat</t>
  </si>
  <si>
    <t>N2 Model-Havayar</t>
  </si>
  <si>
    <t>N-3150x2</t>
  </si>
  <si>
    <t>N-4500x2</t>
  </si>
  <si>
    <t>Adsorbent Volume, Lit</t>
  </si>
  <si>
    <t>Nm3/m3h</t>
  </si>
  <si>
    <t>CMS Nominal Capacity</t>
  </si>
  <si>
    <t>Adsorption Temperature</t>
  </si>
  <si>
    <t>Adsorption Pressure</t>
  </si>
  <si>
    <t>kg</t>
  </si>
  <si>
    <t>lit</t>
  </si>
  <si>
    <t>Oxymat</t>
  </si>
  <si>
    <t>Havayar</t>
  </si>
  <si>
    <t>Capacity Temperature Correction</t>
  </si>
  <si>
    <t>Capacity Pressure Correction</t>
  </si>
  <si>
    <t>Nominal Air/N2</t>
  </si>
  <si>
    <t>Air/N2 Temperature Correction</t>
  </si>
  <si>
    <t>Air/N2 Pressure Correction</t>
  </si>
  <si>
    <t>Data</t>
  </si>
  <si>
    <t>Model</t>
  </si>
  <si>
    <t>N2 Generators on Duty</t>
  </si>
  <si>
    <t>Required CMS per Generator</t>
  </si>
  <si>
    <t>bar</t>
  </si>
  <si>
    <t>ID, mm</t>
  </si>
  <si>
    <t>Actual Capacity</t>
  </si>
  <si>
    <t>AR-100</t>
  </si>
  <si>
    <t>AR-200</t>
  </si>
  <si>
    <t>AR-500</t>
  </si>
  <si>
    <t>AR-1000</t>
  </si>
  <si>
    <t>AR-1500</t>
  </si>
  <si>
    <t>AR-2000</t>
  </si>
  <si>
    <t>AR-2500</t>
  </si>
  <si>
    <t>AR-5000</t>
  </si>
  <si>
    <t>AR-8000</t>
  </si>
  <si>
    <t>AR-3000</t>
  </si>
  <si>
    <t>AR-3500</t>
  </si>
  <si>
    <t>AR-4000</t>
  </si>
  <si>
    <t>AR-6000</t>
  </si>
  <si>
    <t>AR-10000</t>
  </si>
  <si>
    <t>Required</t>
  </si>
  <si>
    <t>Selected</t>
  </si>
  <si>
    <t>Required Dry Air Receiver Size</t>
  </si>
  <si>
    <t>Required Dry Air Receiver Model</t>
  </si>
  <si>
    <t>Consumer's Required N2 Flow</t>
  </si>
  <si>
    <t>Consumer's Required N2 Purity</t>
  </si>
  <si>
    <r>
      <t>@20</t>
    </r>
    <r>
      <rPr>
        <sz val="11"/>
        <color theme="1"/>
        <rFont val="Calibri"/>
        <family val="2"/>
        <scheme val="minor"/>
      </rPr>
      <t>°C, 6.4barg for Kurary</t>
    </r>
  </si>
  <si>
    <r>
      <t>@30</t>
    </r>
    <r>
      <rPr>
        <sz val="11"/>
        <color theme="1"/>
        <rFont val="Calibri"/>
        <family val="2"/>
        <scheme val="minor"/>
      </rPr>
      <t>°C, 8barg for SHE</t>
    </r>
  </si>
  <si>
    <t>N2 Delivery Pressure</t>
  </si>
  <si>
    <t>Nm3/ton.h</t>
  </si>
  <si>
    <t>N2 Generator Data</t>
  </si>
  <si>
    <t xml:space="preserve">N2 Generator </t>
  </si>
  <si>
    <t>Dry Air Receiver</t>
  </si>
  <si>
    <t>Consumption Method</t>
  </si>
  <si>
    <t>N2 Generator Air Consumption Method</t>
  </si>
  <si>
    <t>N2 Generator Product Range</t>
  </si>
  <si>
    <t>Receiver Product Range</t>
  </si>
  <si>
    <t>Required N2 Receiver Size</t>
  </si>
  <si>
    <t>Remarks</t>
  </si>
  <si>
    <t>Unit</t>
  </si>
  <si>
    <t>Value</t>
  </si>
  <si>
    <t>Ctegory</t>
  </si>
  <si>
    <t>N2 Receiver</t>
  </si>
  <si>
    <t>N-40x1</t>
  </si>
  <si>
    <t>N-75x1</t>
  </si>
  <si>
    <t>N-150x1</t>
  </si>
  <si>
    <t>N-225x1</t>
  </si>
  <si>
    <t>N-350x1</t>
  </si>
  <si>
    <t>N-600x1</t>
  </si>
  <si>
    <t>N-800x1</t>
  </si>
  <si>
    <t>N-1000x1</t>
  </si>
  <si>
    <t>N-1850x1</t>
  </si>
  <si>
    <t>N-2650x1</t>
  </si>
  <si>
    <t>N-3150x1</t>
  </si>
  <si>
    <t>N-4500x1</t>
  </si>
  <si>
    <t>Head Factor</t>
  </si>
  <si>
    <t>N2 Generator Model</t>
  </si>
  <si>
    <t>AR-12000</t>
  </si>
  <si>
    <t>AR-15000</t>
  </si>
  <si>
    <t>AR-20000</t>
  </si>
  <si>
    <t>Capacity Correction Factor after 5 years</t>
  </si>
  <si>
    <t>Required Air/N2</t>
  </si>
  <si>
    <t>Cycle time Capacity  Correction Factor</t>
  </si>
  <si>
    <t>N2 Generators Dry Air Consumption</t>
  </si>
  <si>
    <t>No</t>
  </si>
  <si>
    <t>Total CMS in Operation (According to the Consumption Method)</t>
  </si>
  <si>
    <t>Required Dry Air Receiver Model for Each N2 Generator</t>
  </si>
  <si>
    <t>Total Available N2 Flow</t>
  </si>
  <si>
    <t>Required CMS Filling per Generator</t>
  </si>
  <si>
    <t>TL-TL, mm</t>
  </si>
  <si>
    <t>Towers Net Volume, Lit</t>
  </si>
  <si>
    <t>Tower Net Volume (One tower)</t>
  </si>
  <si>
    <t>N2 Generator Inlet Temperature</t>
  </si>
  <si>
    <t>N2 Generator Inlet Pressure</t>
  </si>
  <si>
    <t>General Data</t>
  </si>
  <si>
    <t>Normally 0.8 barg for LP and 0.4 barg for HP</t>
  </si>
  <si>
    <t>N2 Generator Bed Pressure Loss</t>
  </si>
  <si>
    <r>
      <t xml:space="preserve">Page :            2               </t>
    </r>
    <r>
      <rPr>
        <sz val="10"/>
        <rFont val="Times New Roman"/>
        <family val="1"/>
      </rPr>
      <t xml:space="preserve">of                  </t>
    </r>
    <r>
      <rPr>
        <b/>
        <sz val="10"/>
        <rFont val="Times New Roman"/>
        <family val="1"/>
      </rPr>
      <t xml:space="preserve"> 2</t>
    </r>
  </si>
  <si>
    <t>Operation</t>
  </si>
  <si>
    <t xml:space="preserve">Service: </t>
  </si>
  <si>
    <t>Nitrogen Packages</t>
  </si>
  <si>
    <t>Pressure Swing Adsorption (PSA)</t>
  </si>
  <si>
    <t>Inlet Fluid:</t>
  </si>
  <si>
    <t xml:space="preserve"> Compressed Dry Air</t>
  </si>
  <si>
    <t>Manufacturer:</t>
  </si>
  <si>
    <t xml:space="preserve"> Havayar Industrial Group</t>
  </si>
  <si>
    <t>Nitrogen Purity</t>
  </si>
  <si>
    <t>Nitrogen Impurity</t>
  </si>
  <si>
    <r>
      <t>Production Rate</t>
    </r>
    <r>
      <rPr>
        <sz val="11"/>
        <rFont val="Arial"/>
        <family val="2"/>
      </rPr>
      <t>(Sm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</t>
    </r>
    <r>
      <rPr>
        <vertAlign val="superscript"/>
        <sz val="11"/>
        <rFont val="Arial"/>
        <family val="2"/>
      </rPr>
      <t>1,2</t>
    </r>
    <r>
      <rPr>
        <sz val="11"/>
        <rFont val="Arial"/>
        <family val="2"/>
      </rPr>
      <t>)</t>
    </r>
  </si>
  <si>
    <r>
      <t xml:space="preserve">Min. N2 Receiver </t>
    </r>
    <r>
      <rPr>
        <sz val="11"/>
        <rFont val="Arial"/>
        <family val="2"/>
      </rPr>
      <t>(Liters)</t>
    </r>
  </si>
  <si>
    <r>
      <t xml:space="preserve">Min. Air Receiver </t>
    </r>
    <r>
      <rPr>
        <sz val="11"/>
        <rFont val="Arial"/>
        <family val="2"/>
      </rPr>
      <t>(Liters)</t>
    </r>
  </si>
  <si>
    <t>Empty Weight (kg)</t>
  </si>
  <si>
    <t>CMS Fill Weight (kg)</t>
  </si>
  <si>
    <t>Outlet Press. (barg)</t>
  </si>
  <si>
    <r>
      <t>Inlet Dew Point (</t>
    </r>
    <r>
      <rPr>
        <b/>
        <sz val="11"/>
        <rFont val="Calibri"/>
        <family val="2"/>
      </rPr>
      <t>°</t>
    </r>
    <r>
      <rPr>
        <b/>
        <sz val="9.35"/>
        <rFont val="Arial"/>
        <family val="2"/>
      </rPr>
      <t>C)</t>
    </r>
  </si>
  <si>
    <r>
      <t>Inlet Temperature (</t>
    </r>
    <r>
      <rPr>
        <b/>
        <sz val="11"/>
        <rFont val="Calibri"/>
        <family val="2"/>
      </rPr>
      <t>°</t>
    </r>
    <r>
      <rPr>
        <b/>
        <sz val="9.35"/>
        <rFont val="Arial"/>
        <family val="2"/>
      </rPr>
      <t>C)</t>
    </r>
  </si>
  <si>
    <t>Dimensions LxWxH (cm)</t>
  </si>
  <si>
    <t>Shipping Dimensions LxWxH (cm)</t>
  </si>
  <si>
    <t>Maintenance Area LxWxH (cm)</t>
  </si>
  <si>
    <t>Mechanical Design Data</t>
  </si>
  <si>
    <t>Connections</t>
  </si>
  <si>
    <t>Construction Code</t>
  </si>
  <si>
    <t xml:space="preserve">Manufacturer STD. </t>
  </si>
  <si>
    <t>Conn.</t>
  </si>
  <si>
    <t>Size (in.)</t>
  </si>
  <si>
    <t>Rating</t>
  </si>
  <si>
    <t>Facing</t>
  </si>
  <si>
    <t>Design / Hydro Test pressure (barg)</t>
  </si>
  <si>
    <t>10 / 13</t>
  </si>
  <si>
    <t xml:space="preserve">Inlet </t>
  </si>
  <si>
    <t>1 1/2"</t>
  </si>
  <si>
    <t>3000#</t>
  </si>
  <si>
    <t>Threaded</t>
  </si>
  <si>
    <t>Design Temperature (°C)</t>
  </si>
  <si>
    <t xml:space="preserve">Outlet </t>
  </si>
  <si>
    <t>1" for High Purity models</t>
  </si>
  <si>
    <t>Corrosion Allowance, mm</t>
  </si>
  <si>
    <t>PSV</t>
  </si>
  <si>
    <t>1/2"</t>
  </si>
  <si>
    <t>1 per tower, set 10.5 barg</t>
  </si>
  <si>
    <t>Tower Dimensions O.D.xW.L-W.L. (mm)</t>
  </si>
  <si>
    <t>863x1500</t>
  </si>
  <si>
    <t>Hand Hole</t>
  </si>
  <si>
    <t>8"</t>
  </si>
  <si>
    <t>Manufacturer STD.</t>
  </si>
  <si>
    <t>with Blind</t>
  </si>
  <si>
    <t>Head Type, Straight Flange (mm)</t>
  </si>
  <si>
    <t>2.11:1 Elliptical, 50</t>
  </si>
  <si>
    <t>Instrumentations</t>
  </si>
  <si>
    <t>Shell / Head A.F. Thickness (mm) / J.E.</t>
  </si>
  <si>
    <t>6 / 6 / 0.7</t>
  </si>
  <si>
    <t>Control Panel Loaction</t>
  </si>
  <si>
    <t>On Skid</t>
  </si>
  <si>
    <t>Insulation</t>
  </si>
  <si>
    <t>N.A.</t>
  </si>
  <si>
    <t>Control Panel Type / Model</t>
  </si>
  <si>
    <t>PLC Type / siemens S7-1200</t>
  </si>
  <si>
    <r>
      <t>Paint Material / Thickness (</t>
    </r>
    <r>
      <rPr>
        <b/>
        <sz val="11"/>
        <rFont val="Calibri"/>
        <family val="2"/>
      </rPr>
      <t>µ</t>
    </r>
    <r>
      <rPr>
        <b/>
        <sz val="11"/>
        <rFont val="Arial"/>
        <family val="2"/>
      </rPr>
      <t>) / RAL</t>
    </r>
  </si>
  <si>
    <t>Epoxy / 120 / 7015</t>
  </si>
  <si>
    <t>Press. Gauge / Transmitter</t>
  </si>
  <si>
    <t>Yes / Yes</t>
  </si>
  <si>
    <t>Materials</t>
  </si>
  <si>
    <t>Oxygen Analyzer</t>
  </si>
  <si>
    <t>Yes (0-25%)</t>
  </si>
  <si>
    <t>Shell / Head</t>
  </si>
  <si>
    <t>A 283-C / A 283-C</t>
  </si>
  <si>
    <t>Oxygen Monitor</t>
  </si>
  <si>
    <t>0-25%, Includes alarm function (through control)</t>
  </si>
  <si>
    <t>Nozzle Neck</t>
  </si>
  <si>
    <t>A 106-B</t>
  </si>
  <si>
    <t>HMI</t>
  </si>
  <si>
    <t>Touch screen 7"</t>
  </si>
  <si>
    <t>Interconnecting Piping</t>
  </si>
  <si>
    <t>Copper</t>
  </si>
  <si>
    <t>Signals</t>
  </si>
  <si>
    <t>Remote Alarm / Running Status</t>
  </si>
  <si>
    <t>Flanges</t>
  </si>
  <si>
    <t>A 105</t>
  </si>
  <si>
    <t>Electricity-Power (W)</t>
  </si>
  <si>
    <t>Internal Diffuser</t>
  </si>
  <si>
    <t>Brass</t>
  </si>
  <si>
    <t>Purity Control (Optional)</t>
  </si>
  <si>
    <t>If the product purity falls below the required value, it automatically purges the product into the atmosphere until the desired purity is reached.</t>
  </si>
  <si>
    <t>Supports, Baseplate, Struc.</t>
  </si>
  <si>
    <t>Carbon Steel</t>
  </si>
  <si>
    <t>Inspection &amp; Testing</t>
  </si>
  <si>
    <t>Sketch</t>
  </si>
  <si>
    <t>Visual Testing</t>
  </si>
  <si>
    <t>Yes</t>
  </si>
  <si>
    <t>Penetration Testing</t>
  </si>
  <si>
    <t>10% on W.L. / 100% on T-Joint</t>
  </si>
  <si>
    <t>Radiography Testing</t>
  </si>
  <si>
    <t>100% on T-Joint</t>
  </si>
  <si>
    <t>Ultrasonic Testing</t>
  </si>
  <si>
    <t>Noise Test</t>
  </si>
  <si>
    <t>Yes, max 85 dBA</t>
  </si>
  <si>
    <t>Functional Testing</t>
  </si>
  <si>
    <t>Site Conditions</t>
  </si>
  <si>
    <t>Location</t>
  </si>
  <si>
    <t>Indoor</t>
  </si>
  <si>
    <t>Hazardous Area Classification</t>
  </si>
  <si>
    <t>Safe</t>
  </si>
  <si>
    <r>
      <t>Ambient Temperature Min. / Max. (</t>
    </r>
    <r>
      <rPr>
        <b/>
        <sz val="11"/>
        <rFont val="Calibri"/>
        <family val="2"/>
      </rPr>
      <t>°</t>
    </r>
    <r>
      <rPr>
        <b/>
        <sz val="9.35"/>
        <rFont val="Arial"/>
        <family val="2"/>
      </rPr>
      <t>C)</t>
    </r>
  </si>
  <si>
    <t>4 / 40</t>
  </si>
  <si>
    <t>Notes</t>
  </si>
  <si>
    <t>Adsorbent Material</t>
  </si>
  <si>
    <t>1.</t>
  </si>
  <si>
    <r>
      <t>Inlet Air Temperature 30</t>
    </r>
    <r>
      <rPr>
        <sz val="11"/>
        <rFont val="Calibri"/>
        <family val="2"/>
        <scheme val="minor"/>
      </rPr>
      <t>°</t>
    </r>
    <r>
      <rPr>
        <sz val="9.35"/>
        <rFont val="Arial"/>
        <family val="2"/>
      </rPr>
      <t>C</t>
    </r>
  </si>
  <si>
    <t>Type</t>
  </si>
  <si>
    <r>
      <t>Carbon Molecular Seive</t>
    </r>
    <r>
      <rPr>
        <vertAlign val="superscript"/>
        <sz val="11"/>
        <rFont val="Arial"/>
        <family val="2"/>
      </rPr>
      <t>4</t>
    </r>
  </si>
  <si>
    <t>2.</t>
  </si>
  <si>
    <r>
      <t>Flow in [Nm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/hr] is 92% of the flow in [Sm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/hr].</t>
    </r>
  </si>
  <si>
    <t>Bulk Density (g/lit)</t>
  </si>
  <si>
    <t>0.65-0.67</t>
  </si>
  <si>
    <t>3.</t>
  </si>
  <si>
    <t>Allowable Pressure Drop is 1 bar(g)</t>
  </si>
  <si>
    <t>Life Time (years)</t>
  </si>
  <si>
    <t>5-8</t>
  </si>
  <si>
    <t>4.</t>
  </si>
  <si>
    <t>1101120005 CMS for high purity &amp; 1101120008 CMS for low purity.</t>
  </si>
  <si>
    <t>FR08-004/00</t>
  </si>
  <si>
    <t>Inlet Press. (barg)</t>
  </si>
  <si>
    <t>HNG-300x1</t>
  </si>
  <si>
    <t>HNG-90x1</t>
  </si>
  <si>
    <t>HNG-40x1</t>
  </si>
  <si>
    <t>HNG-20x1</t>
  </si>
  <si>
    <t>HNG-50x1</t>
  </si>
  <si>
    <t>HNG-7x1</t>
  </si>
  <si>
    <t>HNG-130x1</t>
  </si>
  <si>
    <t>HNG-200x1</t>
  </si>
  <si>
    <t>HNG-450x1</t>
  </si>
  <si>
    <t>HNG-750x1</t>
  </si>
  <si>
    <t>HNG-1000x1</t>
  </si>
  <si>
    <t>HNG-1300x1</t>
  </si>
  <si>
    <t>HNG-1000x2</t>
  </si>
  <si>
    <t>HNG-1300x2</t>
  </si>
  <si>
    <t>HNG-7000x1</t>
  </si>
  <si>
    <t>Capacity Ratio: 1 Size Less Than Required Model / Required Capacity</t>
  </si>
  <si>
    <t>Capacity Ratio: Selected Model / Required Capacity</t>
  </si>
  <si>
    <t>HNG-6000x1</t>
  </si>
  <si>
    <t>N2 Generator Type:</t>
  </si>
  <si>
    <t>Qty. (Op.)</t>
  </si>
  <si>
    <t>50x60x150</t>
  </si>
  <si>
    <t>50x60x1200</t>
  </si>
  <si>
    <t>70x70x200</t>
  </si>
  <si>
    <t>70x70x220</t>
  </si>
  <si>
    <t>90x80x230</t>
  </si>
  <si>
    <t>110x80x230</t>
  </si>
  <si>
    <t>130x90x230</t>
  </si>
  <si>
    <t>200x130x240</t>
  </si>
  <si>
    <t>200x130x250</t>
  </si>
  <si>
    <t>200x250x250</t>
  </si>
  <si>
    <t>200x130x300</t>
  </si>
  <si>
    <t>200x250x300</t>
  </si>
  <si>
    <t>Generator Dimensions</t>
  </si>
  <si>
    <r>
      <t xml:space="preserve">Air Feed </t>
    </r>
    <r>
      <rPr>
        <sz val="11"/>
        <rFont val="Arial"/>
        <family val="2"/>
      </rPr>
      <t>(Nm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/min)</t>
    </r>
  </si>
  <si>
    <t>Created with a trial version of Syncfusion Essential XlsIO</t>
  </si>
  <si>
    <t>SHE</t>
  </si>
  <si>
    <t>Max 0% more than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</si>
</sst>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"/>
    <numFmt numFmtId="166" formatCode="0.0000%"/>
    <numFmt numFmtId="167" formatCode="0.000%"/>
    <numFmt numFmtId="168" formatCode="0.0%"/>
    <numFmt numFmtId="169" formatCode="[$-1009]d\-mmm\-yy;@"/>
  </numFmts>
  <fonts count="26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22"/>
      <color theme="1"/>
      <name val="Times New Roman"/>
      <family val="1"/>
    </font>
    <font>
      <sz val="11"/>
      <color theme="1"/>
      <name val="Arial"/>
      <family val="2"/>
      <charset val="178"/>
    </font>
    <font>
      <b/>
      <sz val="10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vertAlign val="superscript"/>
      <sz val="11"/>
      <name val="Arial"/>
      <family val="2"/>
    </font>
    <font>
      <b/>
      <sz val="11"/>
      <name val="Calibri"/>
      <family val="2"/>
    </font>
    <font>
      <b/>
      <sz val="9.35"/>
      <name val="Arial"/>
      <family val="2"/>
    </font>
    <font>
      <sz val="9.35"/>
      <name val="Arial"/>
      <family val="2"/>
    </font>
    <font>
      <b/>
      <sz val="11"/>
      <name val="Times New Roman"/>
      <family val="1"/>
    </font>
    <font>
      <b/>
      <sz val="14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5" fillId="3" borderId="1" applyNumberFormat="0" applyAlignment="0" applyProtection="0"/>
    <xf numFmtId="0" fontId="9" fillId="0" borderId="0"/>
    <xf numFmtId="0" fontId="12" fillId="0" borderId="0"/>
    <xf numFmtId="0" fontId="9" fillId="0" borderId="0"/>
  </cellStyleXfs>
  <cellXfs count="22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quotePrefix="1" applyFont="1" applyFill="1" applyBorder="1"/>
    <xf numFmtId="0" fontId="0" fillId="0" borderId="3" xfId="0" applyFont="1" applyBorder="1"/>
    <xf numFmtId="0" fontId="3" fillId="4" borderId="0" xfId="0" applyFont="1" applyFill="1" applyBorder="1"/>
    <xf numFmtId="0" fontId="3" fillId="4" borderId="4" xfId="0" applyFont="1" applyFill="1" applyBorder="1"/>
    <xf numFmtId="164" fontId="0" fillId="0" borderId="0" xfId="0" applyNumberFormat="1"/>
    <xf numFmtId="0" fontId="0" fillId="0" borderId="0" xfId="0" applyFont="1" applyBorder="1"/>
    <xf numFmtId="0" fontId="0" fillId="5" borderId="5" xfId="0" applyFont="1" applyFill="1" applyBorder="1"/>
    <xf numFmtId="0" fontId="0" fillId="0" borderId="5" xfId="0" applyFont="1" applyBorder="1"/>
    <xf numFmtId="0" fontId="7" fillId="0" borderId="0" xfId="0" applyFont="1" applyAlignment="1">
      <alignment vertical="center" textRotation="90"/>
    </xf>
    <xf numFmtId="0" fontId="0" fillId="5" borderId="3" xfId="0" applyFont="1" applyFill="1" applyBorder="1"/>
    <xf numFmtId="0" fontId="6" fillId="0" borderId="6" xfId="0" applyFont="1" applyBorder="1"/>
    <xf numFmtId="0" fontId="6" fillId="0" borderId="0" xfId="0" applyFont="1" applyBorder="1"/>
    <xf numFmtId="0" fontId="0" fillId="0" borderId="0" xfId="0" quotePrefix="1" applyFont="1" applyBorder="1"/>
    <xf numFmtId="0" fontId="6" fillId="0" borderId="7" xfId="0" applyFont="1" applyBorder="1"/>
    <xf numFmtId="0" fontId="0" fillId="0" borderId="7" xfId="0" quotePrefix="1" applyFont="1" applyBorder="1"/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1" fillId="2" borderId="1" xfId="1" applyFont="1" applyFill="1" applyBorder="1" applyAlignment="1" applyProtection="1">
      <alignment horizontal="center" vertical="center"/>
      <protection locked="0"/>
    </xf>
    <xf numFmtId="0" fontId="0" fillId="0" borderId="11" xfId="0" applyBorder="1"/>
    <xf numFmtId="0" fontId="1" fillId="2" borderId="12" xfId="1" applyFont="1" applyFill="1" applyBorder="1" applyAlignment="1" applyProtection="1">
      <alignment horizontal="center" vertical="center"/>
      <protection locked="0"/>
    </xf>
    <xf numFmtId="0" fontId="0" fillId="0" borderId="7" xfId="0" applyBorder="1"/>
    <xf numFmtId="0" fontId="0" fillId="0" borderId="13" xfId="0" applyBorder="1"/>
    <xf numFmtId="0" fontId="0" fillId="0" borderId="0" xfId="0" quotePrefix="1" applyBorder="1"/>
    <xf numFmtId="0" fontId="0" fillId="0" borderId="7" xfId="0" applyBorder="1" applyAlignment="1">
      <alignment horizontal="left"/>
    </xf>
    <xf numFmtId="0" fontId="2" fillId="3" borderId="14" xfId="2" quotePrefix="1" applyFont="1" applyFill="1" applyBorder="1" applyAlignment="1">
      <alignment horizontal="center" vertical="center"/>
    </xf>
    <xf numFmtId="0" fontId="0" fillId="0" borderId="6" xfId="0" applyFont="1" applyBorder="1"/>
    <xf numFmtId="2" fontId="0" fillId="0" borderId="6" xfId="0" applyNumberFormat="1" applyBorder="1" applyAlignment="1">
      <alignment horizontal="center" vertical="center"/>
    </xf>
    <xf numFmtId="0" fontId="0" fillId="0" borderId="6" xfId="0" quotePrefix="1" applyBorder="1"/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165" fontId="0" fillId="0" borderId="0" xfId="0" applyNumberFormat="1" applyBorder="1" applyAlignment="1">
      <alignment horizontal="center" vertical="center"/>
    </xf>
    <xf numFmtId="2" fontId="5" fillId="3" borderId="1" xfId="3" applyNumberFormat="1" applyFont="1" applyFill="1" applyBorder="1" applyAlignment="1">
      <alignment horizontal="center" vertical="center"/>
    </xf>
    <xf numFmtId="164" fontId="2" fillId="3" borderId="2" xfId="2" applyNumberFormat="1" applyFont="1" applyFill="1" applyBorder="1" applyAlignment="1">
      <alignment horizontal="center" vertical="center"/>
    </xf>
    <xf numFmtId="164" fontId="5" fillId="3" borderId="1" xfId="3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64" fontId="5" fillId="3" borderId="12" xfId="3" applyNumberFormat="1" applyFont="1" applyFill="1" applyBorder="1" applyAlignment="1">
      <alignment horizontal="center" vertical="center"/>
    </xf>
    <xf numFmtId="0" fontId="2" fillId="3" borderId="14" xfId="2" applyFont="1" applyFill="1" applyBorder="1" applyAlignment="1">
      <alignment horizontal="center" vertical="center"/>
    </xf>
    <xf numFmtId="164" fontId="5" fillId="3" borderId="15" xfId="3" applyNumberFormat="1" applyFont="1" applyFill="1" applyBorder="1" applyAlignment="1">
      <alignment horizontal="center" vertical="center"/>
    </xf>
    <xf numFmtId="0" fontId="2" fillId="3" borderId="14" xfId="2" applyFont="1" applyFill="1" applyBorder="1"/>
    <xf numFmtId="0" fontId="3" fillId="4" borderId="0" xfId="0" applyFont="1" applyFill="1"/>
    <xf numFmtId="0" fontId="0" fillId="0" borderId="0" xfId="0" applyNumberFormat="1" applyFont="1" applyBorder="1"/>
    <xf numFmtId="0" fontId="1" fillId="2" borderId="1" xfId="1" applyFont="1" applyFill="1" applyBorder="1" applyAlignment="1">
      <alignment horizontal="center" vertical="center"/>
    </xf>
    <xf numFmtId="0" fontId="6" fillId="0" borderId="0" xfId="0" applyFont="1" applyFill="1" applyBorder="1"/>
    <xf numFmtId="0" fontId="4" fillId="0" borderId="16" xfId="0" applyFont="1" applyBorder="1" applyAlignment="1">
      <alignment horizontal="center" vertical="center" wrapText="1"/>
    </xf>
    <xf numFmtId="0" fontId="9" fillId="0" borderId="17" xfId="6" applyFont="1" applyBorder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0" fontId="17" fillId="0" borderId="18" xfId="6" quotePrefix="1" applyFont="1" applyBorder="1" applyAlignment="1">
      <alignment horizontal="right" vertical="center"/>
    </xf>
    <xf numFmtId="0" fontId="17" fillId="0" borderId="18" xfId="6" quotePrefix="1" applyFont="1" applyFill="1" applyBorder="1" applyAlignment="1">
      <alignment horizontal="right" vertical="center"/>
    </xf>
    <xf numFmtId="0" fontId="9" fillId="0" borderId="0" xfId="4" applyFont="1"/>
    <xf numFmtId="0" fontId="9" fillId="0" borderId="19" xfId="4" applyFont="1" applyBorder="1" applyAlignment="1">
      <alignment horizontal="center" vertical="center"/>
    </xf>
    <xf numFmtId="10" fontId="18" fillId="6" borderId="20" xfId="4" applyNumberFormat="1" applyFont="1" applyFill="1" applyBorder="1" applyAlignment="1">
      <alignment horizontal="center" vertical="center" wrapText="1"/>
    </xf>
    <xf numFmtId="168" fontId="18" fillId="6" borderId="20" xfId="4" applyNumberFormat="1" applyFont="1" applyFill="1" applyBorder="1" applyAlignment="1">
      <alignment horizontal="center" vertical="center" wrapText="1"/>
    </xf>
    <xf numFmtId="9" fontId="18" fillId="6" borderId="20" xfId="4" applyNumberFormat="1" applyFont="1" applyFill="1" applyBorder="1" applyAlignment="1">
      <alignment horizontal="center" vertical="center" wrapText="1"/>
    </xf>
    <xf numFmtId="9" fontId="18" fillId="6" borderId="21" xfId="4" applyNumberFormat="1" applyFont="1" applyFill="1" applyBorder="1" applyAlignment="1">
      <alignment horizontal="center" vertical="center" wrapText="1"/>
    </xf>
    <xf numFmtId="10" fontId="19" fillId="6" borderId="22" xfId="4" applyNumberFormat="1" applyFont="1" applyFill="1" applyBorder="1" applyAlignment="1">
      <alignment horizontal="center" vertical="center" wrapText="1"/>
    </xf>
    <xf numFmtId="9" fontId="19" fillId="6" borderId="22" xfId="4" applyNumberFormat="1" applyFont="1" applyFill="1" applyBorder="1" applyAlignment="1">
      <alignment horizontal="center" vertical="center" wrapText="1"/>
    </xf>
    <xf numFmtId="9" fontId="19" fillId="6" borderId="23" xfId="4" applyNumberFormat="1" applyFont="1" applyFill="1" applyBorder="1" applyAlignment="1">
      <alignment horizontal="center" vertical="center" wrapText="1"/>
    </xf>
    <xf numFmtId="165" fontId="9" fillId="6" borderId="24" xfId="4" applyNumberFormat="1" applyFont="1" applyFill="1" applyBorder="1" applyAlignment="1">
      <alignment horizontal="center" vertical="center" wrapText="1"/>
    </xf>
    <xf numFmtId="165" fontId="9" fillId="6" borderId="25" xfId="4" applyNumberFormat="1" applyFont="1" applyFill="1" applyBorder="1" applyAlignment="1">
      <alignment horizontal="center" vertical="center" wrapText="1"/>
    </xf>
    <xf numFmtId="165" fontId="9" fillId="6" borderId="26" xfId="4" applyNumberFormat="1" applyFont="1" applyFill="1" applyBorder="1" applyAlignment="1">
      <alignment horizontal="center" vertical="center" wrapText="1"/>
    </xf>
    <xf numFmtId="165" fontId="9" fillId="6" borderId="27" xfId="4" applyNumberFormat="1" applyFont="1" applyFill="1" applyBorder="1" applyAlignment="1">
      <alignment horizontal="center" vertical="center" wrapText="1"/>
    </xf>
    <xf numFmtId="1" fontId="9" fillId="6" borderId="26" xfId="4" applyNumberFormat="1" applyFont="1" applyFill="1" applyBorder="1" applyAlignment="1">
      <alignment horizontal="center" vertical="center" wrapText="1"/>
    </xf>
    <xf numFmtId="1" fontId="9" fillId="6" borderId="27" xfId="4" applyNumberFormat="1" applyFont="1" applyFill="1" applyBorder="1" applyAlignment="1">
      <alignment horizontal="center" vertical="center" wrapText="1"/>
    </xf>
    <xf numFmtId="0" fontId="17" fillId="0" borderId="28" xfId="4" applyFont="1" applyBorder="1" applyAlignment="1">
      <alignment horizontal="center" vertical="center"/>
    </xf>
    <xf numFmtId="0" fontId="9" fillId="0" borderId="18" xfId="4" applyFont="1" applyFill="1" applyBorder="1" applyAlignment="1"/>
    <xf numFmtId="0" fontId="9" fillId="0" borderId="0" xfId="4" applyFont="1" applyFill="1" applyBorder="1" applyAlignment="1"/>
    <xf numFmtId="0" fontId="9" fillId="0" borderId="11" xfId="4" applyFont="1" applyFill="1" applyBorder="1" applyAlignment="1"/>
    <xf numFmtId="165" fontId="19" fillId="0" borderId="29" xfId="6" applyNumberFormat="1" applyFont="1" applyBorder="1" applyAlignment="1">
      <alignment horizontal="center" vertical="center"/>
    </xf>
    <xf numFmtId="0" fontId="0" fillId="0" borderId="5" xfId="0" applyNumberFormat="1" applyFont="1" applyBorder="1"/>
    <xf numFmtId="0" fontId="19" fillId="6" borderId="22" xfId="4" applyNumberFormat="1" applyFont="1" applyFill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/>
    </xf>
    <xf numFmtId="167" fontId="18" fillId="6" borderId="30" xfId="4" applyNumberFormat="1" applyFont="1" applyFill="1" applyBorder="1" applyAlignment="1">
      <alignment vertical="center" wrapText="1"/>
    </xf>
    <xf numFmtId="167" fontId="18" fillId="6" borderId="31" xfId="4" applyNumberFormat="1" applyFont="1" applyFill="1" applyBorder="1" applyAlignment="1">
      <alignment vertical="center" wrapText="1"/>
    </xf>
    <xf numFmtId="0" fontId="19" fillId="6" borderId="22" xfId="4" applyNumberFormat="1" applyFont="1" applyFill="1" applyBorder="1" applyAlignment="1">
      <alignment vertical="center" wrapText="1"/>
    </xf>
    <xf numFmtId="165" fontId="9" fillId="6" borderId="32" xfId="4" applyNumberFormat="1" applyFont="1" applyFill="1" applyBorder="1" applyAlignment="1">
      <alignment vertical="center" wrapText="1"/>
    </xf>
    <xf numFmtId="165" fontId="9" fillId="6" borderId="33" xfId="4" applyNumberFormat="1" applyFont="1" applyFill="1" applyBorder="1" applyAlignment="1">
      <alignment vertical="center" wrapText="1"/>
    </xf>
    <xf numFmtId="165" fontId="9" fillId="6" borderId="34" xfId="4" applyNumberFormat="1" applyFont="1" applyFill="1" applyBorder="1" applyAlignment="1">
      <alignment vertical="center" wrapText="1"/>
    </xf>
    <xf numFmtId="165" fontId="9" fillId="6" borderId="29" xfId="4" applyNumberFormat="1" applyFont="1" applyFill="1" applyBorder="1" applyAlignment="1">
      <alignment vertical="center" wrapText="1"/>
    </xf>
    <xf numFmtId="1" fontId="9" fillId="6" borderId="34" xfId="4" applyNumberFormat="1" applyFont="1" applyFill="1" applyBorder="1" applyAlignment="1">
      <alignment vertical="center" wrapText="1"/>
    </xf>
    <xf numFmtId="1" fontId="9" fillId="6" borderId="29" xfId="4" applyNumberFormat="1" applyFont="1" applyFill="1" applyBorder="1" applyAlignment="1">
      <alignment vertical="center" wrapText="1"/>
    </xf>
    <xf numFmtId="0" fontId="19" fillId="6" borderId="35" xfId="4" applyNumberFormat="1" applyFont="1" applyFill="1" applyBorder="1" applyAlignment="1">
      <alignment vertical="center" wrapText="1"/>
    </xf>
    <xf numFmtId="0" fontId="25" fillId="0" borderId="0" xfId="0" applyFont="1"/>
    <xf numFmtId="0" fontId="8" fillId="0" borderId="9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38" xfId="0" applyBorder="1" applyAlignment="1">
      <alignment horizontal="left"/>
    </xf>
    <xf numFmtId="0" fontId="0" fillId="0" borderId="0" xfId="0" applyBorder="1" applyAlignment="1">
      <alignment horizontal="left"/>
    </xf>
    <xf numFmtId="0" fontId="1" fillId="2" borderId="12" xfId="1" applyFont="1" applyFill="1" applyBorder="1" applyAlignment="1" applyProtection="1">
      <alignment horizontal="left" vertical="center"/>
      <protection locked="0"/>
    </xf>
    <xf numFmtId="0" fontId="4" fillId="0" borderId="1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/>
    </xf>
    <xf numFmtId="0" fontId="10" fillId="0" borderId="36" xfId="4" applyFont="1" applyBorder="1" applyAlignment="1">
      <alignment horizontal="center" vertical="top" wrapText="1"/>
    </xf>
    <xf numFmtId="0" fontId="10" fillId="0" borderId="6" xfId="4" applyFont="1" applyBorder="1" applyAlignment="1">
      <alignment horizontal="center" vertical="top" wrapText="1"/>
    </xf>
    <xf numFmtId="0" fontId="10" fillId="0" borderId="10" xfId="4" applyFont="1" applyBorder="1" applyAlignment="1">
      <alignment horizontal="center" vertical="top" wrapText="1"/>
    </xf>
    <xf numFmtId="0" fontId="10" fillId="0" borderId="18" xfId="4" applyFont="1" applyBorder="1" applyAlignment="1">
      <alignment horizontal="center" vertical="top" wrapText="1"/>
    </xf>
    <xf numFmtId="0" fontId="10" fillId="0" borderId="0" xfId="4" applyFont="1" applyBorder="1" applyAlignment="1">
      <alignment horizontal="center" vertical="top" wrapText="1"/>
    </xf>
    <xf numFmtId="0" fontId="10" fillId="0" borderId="11" xfId="4" applyFont="1" applyBorder="1" applyAlignment="1">
      <alignment horizontal="center" vertical="top" wrapText="1"/>
    </xf>
    <xf numFmtId="0" fontId="10" fillId="0" borderId="16" xfId="4" applyFont="1" applyBorder="1" applyAlignment="1">
      <alignment horizontal="center" vertical="top" wrapText="1"/>
    </xf>
    <xf numFmtId="0" fontId="10" fillId="0" borderId="7" xfId="4" applyFont="1" applyBorder="1" applyAlignment="1">
      <alignment horizontal="center" vertical="top" wrapText="1"/>
    </xf>
    <xf numFmtId="0" fontId="10" fillId="0" borderId="13" xfId="4" applyFont="1" applyBorder="1" applyAlignment="1">
      <alignment horizontal="center" vertical="top" wrapText="1"/>
    </xf>
    <xf numFmtId="0" fontId="11" fillId="0" borderId="36" xfId="4" applyFont="1" applyBorder="1" applyAlignment="1">
      <alignment horizontal="center" vertical="center" wrapText="1"/>
    </xf>
    <xf numFmtId="0" fontId="11" fillId="0" borderId="6" xfId="4" applyFont="1" applyBorder="1" applyAlignment="1">
      <alignment horizontal="center" vertical="center" wrapText="1"/>
    </xf>
    <xf numFmtId="0" fontId="11" fillId="0" borderId="10" xfId="4" applyFont="1" applyBorder="1" applyAlignment="1">
      <alignment horizontal="center" vertical="center" wrapText="1"/>
    </xf>
    <xf numFmtId="0" fontId="11" fillId="0" borderId="18" xfId="4" applyFont="1" applyBorder="1" applyAlignment="1">
      <alignment horizontal="center" vertical="center" wrapText="1"/>
    </xf>
    <xf numFmtId="0" fontId="11" fillId="0" borderId="0" xfId="4" applyFont="1" applyBorder="1" applyAlignment="1">
      <alignment horizontal="center" vertical="center" wrapText="1"/>
    </xf>
    <xf numFmtId="0" fontId="11" fillId="0" borderId="11" xfId="4" applyFont="1" applyBorder="1" applyAlignment="1">
      <alignment horizontal="center" vertical="center" wrapText="1"/>
    </xf>
    <xf numFmtId="0" fontId="11" fillId="0" borderId="16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 wrapText="1"/>
    </xf>
    <xf numFmtId="0" fontId="11" fillId="0" borderId="13" xfId="4" applyFont="1" applyBorder="1" applyAlignment="1">
      <alignment horizontal="center" vertical="center" wrapText="1"/>
    </xf>
    <xf numFmtId="0" fontId="13" fillId="0" borderId="8" xfId="5" applyFont="1" applyBorder="1" applyAlignment="1">
      <alignment horizontal="left" vertical="center" wrapText="1"/>
    </xf>
    <xf numFmtId="0" fontId="13" fillId="0" borderId="9" xfId="5" applyFont="1" applyBorder="1" applyAlignment="1">
      <alignment horizontal="left" vertical="center" wrapText="1"/>
    </xf>
    <xf numFmtId="0" fontId="13" fillId="0" borderId="37" xfId="5" applyFont="1" applyBorder="1" applyAlignment="1">
      <alignment horizontal="left" vertical="center" wrapText="1"/>
    </xf>
    <xf numFmtId="0" fontId="13" fillId="0" borderId="8" xfId="5" applyFont="1" applyBorder="1" applyAlignment="1">
      <alignment horizontal="left" vertical="center"/>
    </xf>
    <xf numFmtId="0" fontId="13" fillId="0" borderId="9" xfId="5" applyFont="1" applyBorder="1" applyAlignment="1">
      <alignment horizontal="left" vertical="center"/>
    </xf>
    <xf numFmtId="0" fontId="13" fillId="0" borderId="37" xfId="5" applyFont="1" applyBorder="1" applyAlignment="1">
      <alignment horizontal="left" vertical="center"/>
    </xf>
    <xf numFmtId="0" fontId="13" fillId="0" borderId="8" xfId="5" quotePrefix="1" applyFont="1" applyBorder="1" applyAlignment="1">
      <alignment horizontal="left" vertical="center"/>
    </xf>
    <xf numFmtId="0" fontId="13" fillId="0" borderId="9" xfId="5" quotePrefix="1" applyFont="1" applyBorder="1" applyAlignment="1">
      <alignment horizontal="left" vertical="center"/>
    </xf>
    <xf numFmtId="0" fontId="13" fillId="0" borderId="37" xfId="5" quotePrefix="1" applyFont="1" applyBorder="1" applyAlignment="1">
      <alignment horizontal="left" vertical="center"/>
    </xf>
    <xf numFmtId="0" fontId="15" fillId="7" borderId="8" xfId="6" applyFont="1" applyFill="1" applyBorder="1" applyAlignment="1">
      <alignment horizontal="center" vertical="center"/>
    </xf>
    <xf numFmtId="0" fontId="15" fillId="7" borderId="9" xfId="6" applyFont="1" applyFill="1" applyBorder="1" applyAlignment="1">
      <alignment horizontal="center" vertical="center"/>
    </xf>
    <xf numFmtId="0" fontId="15" fillId="7" borderId="37" xfId="6" applyFont="1" applyFill="1" applyBorder="1" applyAlignment="1">
      <alignment horizontal="center" vertical="center"/>
    </xf>
    <xf numFmtId="0" fontId="16" fillId="0" borderId="18" xfId="4" applyFont="1" applyBorder="1" applyAlignment="1">
      <alignment horizontal="left" vertical="center"/>
    </xf>
    <xf numFmtId="0" fontId="16" fillId="0" borderId="0" xfId="4" applyFont="1" applyBorder="1" applyAlignment="1">
      <alignment horizontal="left" vertical="center"/>
    </xf>
    <xf numFmtId="0" fontId="17" fillId="0" borderId="0" xfId="4" applyFont="1" applyBorder="1" applyAlignment="1">
      <alignment horizontal="center" vertical="center"/>
    </xf>
    <xf numFmtId="0" fontId="16" fillId="0" borderId="49" xfId="4" applyFont="1" applyBorder="1" applyAlignment="1">
      <alignment horizontal="center" vertical="center"/>
    </xf>
    <xf numFmtId="0" fontId="16" fillId="0" borderId="0" xfId="4" applyFont="1" applyBorder="1" applyAlignment="1">
      <alignment horizontal="center" vertical="center"/>
    </xf>
    <xf numFmtId="0" fontId="16" fillId="0" borderId="49" xfId="4" applyFont="1" applyBorder="1" applyAlignment="1">
      <alignment horizontal="left" vertical="center"/>
    </xf>
    <xf numFmtId="0" fontId="17" fillId="0" borderId="11" xfId="4" applyFont="1" applyBorder="1" applyAlignment="1">
      <alignment horizontal="center" vertical="center"/>
    </xf>
    <xf numFmtId="0" fontId="16" fillId="6" borderId="42" xfId="4" applyFont="1" applyFill="1" applyBorder="1" applyAlignment="1">
      <alignment horizontal="center" vertical="center" wrapText="1"/>
    </xf>
    <xf numFmtId="0" fontId="16" fillId="6" borderId="43" xfId="4" applyFont="1" applyFill="1" applyBorder="1" applyAlignment="1">
      <alignment horizontal="center" vertical="center" wrapText="1"/>
    </xf>
    <xf numFmtId="0" fontId="16" fillId="6" borderId="44" xfId="4" applyFont="1" applyFill="1" applyBorder="1" applyAlignment="1">
      <alignment horizontal="center" vertical="center" wrapText="1"/>
    </xf>
    <xf numFmtId="0" fontId="16" fillId="6" borderId="45" xfId="4" applyFont="1" applyFill="1" applyBorder="1" applyAlignment="1">
      <alignment horizontal="center" vertical="center" wrapText="1"/>
    </xf>
    <xf numFmtId="0" fontId="16" fillId="6" borderId="40" xfId="4" applyFont="1" applyFill="1" applyBorder="1" applyAlignment="1">
      <alignment horizontal="center" vertical="center" wrapText="1"/>
    </xf>
    <xf numFmtId="0" fontId="16" fillId="6" borderId="16" xfId="4" applyFont="1" applyFill="1" applyBorder="1" applyAlignment="1">
      <alignment horizontal="center" vertical="center" wrapText="1"/>
    </xf>
    <xf numFmtId="0" fontId="16" fillId="6" borderId="7" xfId="4" applyFont="1" applyFill="1" applyBorder="1" applyAlignment="1">
      <alignment horizontal="center" vertical="center" wrapText="1"/>
    </xf>
    <xf numFmtId="0" fontId="16" fillId="0" borderId="17" xfId="4" applyFont="1" applyBorder="1" applyAlignment="1">
      <alignment horizontal="center" vertical="center"/>
    </xf>
    <xf numFmtId="0" fontId="16" fillId="0" borderId="46" xfId="4" applyFont="1" applyBorder="1" applyAlignment="1">
      <alignment horizontal="center" vertical="center"/>
    </xf>
    <xf numFmtId="0" fontId="16" fillId="0" borderId="47" xfId="4" applyFont="1" applyBorder="1" applyAlignment="1">
      <alignment horizontal="center" vertical="center"/>
    </xf>
    <xf numFmtId="0" fontId="17" fillId="0" borderId="48" xfId="4" applyFont="1" applyBorder="1" applyAlignment="1">
      <alignment horizontal="center" vertical="center"/>
    </xf>
    <xf numFmtId="0" fontId="17" fillId="0" borderId="46" xfId="4" applyFont="1" applyBorder="1" applyAlignment="1">
      <alignment horizontal="center" vertical="center"/>
    </xf>
    <xf numFmtId="1" fontId="16" fillId="6" borderId="46" xfId="4" applyNumberFormat="1" applyFont="1" applyFill="1" applyBorder="1" applyAlignment="1">
      <alignment horizontal="left" vertical="center" wrapText="1"/>
    </xf>
    <xf numFmtId="1" fontId="16" fillId="6" borderId="34" xfId="4" applyNumberFormat="1" applyFont="1" applyFill="1" applyBorder="1" applyAlignment="1">
      <alignment horizontal="left" vertical="center" wrapText="1"/>
    </xf>
    <xf numFmtId="166" fontId="18" fillId="6" borderId="42" xfId="4" applyNumberFormat="1" applyFont="1" applyFill="1" applyBorder="1" applyAlignment="1">
      <alignment horizontal="center" vertical="center" wrapText="1"/>
    </xf>
    <xf numFmtId="166" fontId="18" fillId="6" borderId="43" xfId="4" applyNumberFormat="1" applyFont="1" applyFill="1" applyBorder="1" applyAlignment="1">
      <alignment horizontal="center" vertical="center" wrapText="1"/>
    </xf>
    <xf numFmtId="166" fontId="18" fillId="6" borderId="44" xfId="4" applyNumberFormat="1" applyFont="1" applyFill="1" applyBorder="1" applyAlignment="1">
      <alignment horizontal="center" vertical="center" wrapText="1"/>
    </xf>
    <xf numFmtId="166" fontId="18" fillId="6" borderId="45" xfId="4" applyNumberFormat="1" applyFont="1" applyFill="1" applyBorder="1" applyAlignment="1">
      <alignment horizontal="center" vertical="center" wrapText="1"/>
    </xf>
    <xf numFmtId="166" fontId="18" fillId="6" borderId="40" xfId="4" applyNumberFormat="1" applyFont="1" applyFill="1" applyBorder="1" applyAlignment="1">
      <alignment horizontal="center" vertical="center" wrapText="1"/>
    </xf>
    <xf numFmtId="166" fontId="18" fillId="6" borderId="28" xfId="4" applyNumberFormat="1" applyFont="1" applyFill="1" applyBorder="1" applyAlignment="1">
      <alignment horizontal="center" vertical="center" wrapText="1"/>
    </xf>
    <xf numFmtId="0" fontId="18" fillId="6" borderId="45" xfId="4" applyNumberFormat="1" applyFont="1" applyFill="1" applyBorder="1" applyAlignment="1">
      <alignment horizontal="center" vertical="center" wrapText="1"/>
    </xf>
    <xf numFmtId="0" fontId="18" fillId="6" borderId="40" xfId="4" applyNumberFormat="1" applyFont="1" applyFill="1" applyBorder="1" applyAlignment="1">
      <alignment horizontal="center" vertical="center" wrapText="1"/>
    </xf>
    <xf numFmtId="0" fontId="18" fillId="6" borderId="28" xfId="4" applyNumberFormat="1" applyFont="1" applyFill="1" applyBorder="1" applyAlignment="1">
      <alignment horizontal="center" vertical="center" wrapText="1"/>
    </xf>
    <xf numFmtId="0" fontId="18" fillId="6" borderId="16" xfId="4" applyNumberFormat="1" applyFont="1" applyFill="1" applyBorder="1" applyAlignment="1">
      <alignment horizontal="center" vertical="center" wrapText="1"/>
    </xf>
    <xf numFmtId="0" fontId="18" fillId="6" borderId="7" xfId="4" applyNumberFormat="1" applyFont="1" applyFill="1" applyBorder="1" applyAlignment="1">
      <alignment horizontal="center" vertical="center" wrapText="1"/>
    </xf>
    <xf numFmtId="0" fontId="18" fillId="6" borderId="13" xfId="4" applyNumberFormat="1" applyFont="1" applyFill="1" applyBorder="1" applyAlignment="1">
      <alignment horizontal="center" vertical="center" wrapText="1"/>
    </xf>
    <xf numFmtId="1" fontId="17" fillId="0" borderId="29" xfId="4" applyNumberFormat="1" applyFont="1" applyBorder="1" applyAlignment="1">
      <alignment horizontal="center" vertical="center"/>
    </xf>
    <xf numFmtId="1" fontId="17" fillId="0" borderId="26" xfId="4" applyNumberFormat="1" applyFont="1" applyBorder="1" applyAlignment="1">
      <alignment horizontal="center" vertical="center"/>
    </xf>
    <xf numFmtId="1" fontId="17" fillId="6" borderId="34" xfId="4" applyNumberFormat="1" applyFont="1" applyFill="1" applyBorder="1" applyAlignment="1">
      <alignment horizontal="center" vertical="center" wrapText="1"/>
    </xf>
    <xf numFmtId="1" fontId="17" fillId="6" borderId="40" xfId="4" applyNumberFormat="1" applyFont="1" applyFill="1" applyBorder="1" applyAlignment="1">
      <alignment horizontal="center" vertical="center" wrapText="1"/>
    </xf>
    <xf numFmtId="1" fontId="17" fillId="6" borderId="28" xfId="4" applyNumberFormat="1" applyFont="1" applyFill="1" applyBorder="1" applyAlignment="1">
      <alignment horizontal="center" vertical="center" wrapText="1"/>
    </xf>
    <xf numFmtId="0" fontId="16" fillId="0" borderId="41" xfId="4" applyFont="1" applyBorder="1" applyAlignment="1">
      <alignment horizontal="left" vertical="center"/>
    </xf>
    <xf numFmtId="0" fontId="16" fillId="0" borderId="26" xfId="4" applyFont="1" applyBorder="1" applyAlignment="1">
      <alignment horizontal="left" vertical="center"/>
    </xf>
    <xf numFmtId="0" fontId="16" fillId="0" borderId="34" xfId="4" applyFont="1" applyBorder="1" applyAlignment="1">
      <alignment horizontal="left" vertical="center"/>
    </xf>
    <xf numFmtId="0" fontId="16" fillId="0" borderId="26" xfId="4" applyFont="1" applyBorder="1" applyAlignment="1">
      <alignment horizontal="center" vertical="center"/>
    </xf>
    <xf numFmtId="0" fontId="16" fillId="0" borderId="34" xfId="4" applyFont="1" applyBorder="1" applyAlignment="1">
      <alignment horizontal="center" vertical="center"/>
    </xf>
    <xf numFmtId="0" fontId="17" fillId="0" borderId="29" xfId="4" applyNumberFormat="1" applyFont="1" applyBorder="1" applyAlignment="1">
      <alignment horizontal="center" vertical="center"/>
    </xf>
    <xf numFmtId="0" fontId="17" fillId="0" borderId="26" xfId="4" applyNumberFormat="1" applyFont="1" applyBorder="1" applyAlignment="1">
      <alignment horizontal="center" vertical="center"/>
    </xf>
    <xf numFmtId="0" fontId="17" fillId="0" borderId="29" xfId="4" quotePrefix="1" applyFont="1" applyBorder="1" applyAlignment="1">
      <alignment horizontal="center" vertical="center"/>
    </xf>
    <xf numFmtId="0" fontId="17" fillId="0" borderId="26" xfId="4" applyFont="1" applyBorder="1" applyAlignment="1">
      <alignment horizontal="center" vertical="center"/>
    </xf>
    <xf numFmtId="49" fontId="16" fillId="0" borderId="18" xfId="6" applyNumberFormat="1" applyFont="1" applyBorder="1" applyAlignment="1">
      <alignment horizontal="left" vertical="center" wrapText="1"/>
    </xf>
    <xf numFmtId="49" fontId="16" fillId="0" borderId="0" xfId="6" applyNumberFormat="1" applyFont="1" applyBorder="1" applyAlignment="1">
      <alignment horizontal="left" vertical="center" wrapText="1"/>
    </xf>
    <xf numFmtId="0" fontId="17" fillId="0" borderId="0" xfId="6" applyFont="1" applyBorder="1" applyAlignment="1">
      <alignment horizontal="center" vertical="center"/>
    </xf>
    <xf numFmtId="0" fontId="17" fillId="0" borderId="11" xfId="6" applyFont="1" applyBorder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0" fontId="16" fillId="0" borderId="11" xfId="6" applyFont="1" applyBorder="1" applyAlignment="1">
      <alignment horizontal="center" vertical="center"/>
    </xf>
    <xf numFmtId="0" fontId="16" fillId="0" borderId="16" xfId="4" applyFont="1" applyBorder="1" applyAlignment="1">
      <alignment horizontal="left" vertical="center"/>
    </xf>
    <xf numFmtId="0" fontId="16" fillId="0" borderId="7" xfId="4" applyFont="1" applyBorder="1" applyAlignment="1">
      <alignment horizontal="left" vertical="center"/>
    </xf>
    <xf numFmtId="0" fontId="17" fillId="0" borderId="7" xfId="4" applyFont="1" applyFill="1" applyBorder="1" applyAlignment="1">
      <alignment horizontal="center" vertical="center"/>
    </xf>
    <xf numFmtId="0" fontId="17" fillId="0" borderId="39" xfId="4" applyFont="1" applyFill="1" applyBorder="1" applyAlignment="1">
      <alignment horizontal="center" vertical="center"/>
    </xf>
    <xf numFmtId="0" fontId="16" fillId="0" borderId="7" xfId="6" applyFont="1" applyBorder="1" applyAlignment="1">
      <alignment horizontal="left" vertical="center"/>
    </xf>
    <xf numFmtId="0" fontId="17" fillId="0" borderId="7" xfId="6" applyFont="1" applyFill="1" applyBorder="1" applyAlignment="1">
      <alignment horizontal="center" vertical="center"/>
    </xf>
    <xf numFmtId="0" fontId="17" fillId="0" borderId="13" xfId="6" applyFont="1" applyFill="1" applyBorder="1" applyAlignment="1">
      <alignment horizontal="center" vertical="center"/>
    </xf>
    <xf numFmtId="49" fontId="17" fillId="0" borderId="0" xfId="6" applyNumberFormat="1" applyFont="1" applyBorder="1" applyAlignment="1">
      <alignment horizontal="center" vertical="center" wrapText="1"/>
    </xf>
    <xf numFmtId="49" fontId="17" fillId="0" borderId="11" xfId="6" applyNumberFormat="1" applyFont="1" applyBorder="1" applyAlignment="1">
      <alignment horizontal="center" vertical="center" wrapText="1"/>
    </xf>
    <xf numFmtId="49" fontId="17" fillId="0" borderId="18" xfId="6" applyNumberFormat="1" applyFont="1" applyBorder="1" applyAlignment="1">
      <alignment horizontal="left" vertical="center" wrapText="1"/>
    </xf>
    <xf numFmtId="49" fontId="17" fillId="0" borderId="0" xfId="6" applyNumberFormat="1" applyFont="1" applyBorder="1" applyAlignment="1">
      <alignment horizontal="left" vertical="center" wrapText="1"/>
    </xf>
    <xf numFmtId="0" fontId="17" fillId="0" borderId="0" xfId="6" quotePrefix="1" applyFont="1" applyBorder="1" applyAlignment="1">
      <alignment horizontal="center" vertical="center"/>
    </xf>
    <xf numFmtId="0" fontId="16" fillId="0" borderId="18" xfId="6" applyFont="1" applyBorder="1" applyAlignment="1">
      <alignment horizontal="left" vertical="center"/>
    </xf>
    <xf numFmtId="0" fontId="16" fillId="0" borderId="0" xfId="6" applyFont="1" applyBorder="1" applyAlignment="1">
      <alignment horizontal="left" vertical="center"/>
    </xf>
    <xf numFmtId="49" fontId="16" fillId="0" borderId="36" xfId="6" applyNumberFormat="1" applyFont="1" applyBorder="1" applyAlignment="1">
      <alignment horizontal="left" vertical="center" wrapText="1"/>
    </xf>
    <xf numFmtId="49" fontId="16" fillId="0" borderId="6" xfId="6" applyNumberFormat="1" applyFont="1" applyBorder="1" applyAlignment="1">
      <alignment horizontal="left" vertical="center" wrapText="1"/>
    </xf>
    <xf numFmtId="49" fontId="17" fillId="0" borderId="6" xfId="6" applyNumberFormat="1" applyFont="1" applyBorder="1" applyAlignment="1">
      <alignment horizontal="center" vertical="center" wrapText="1"/>
    </xf>
    <xf numFmtId="49" fontId="17" fillId="0" borderId="10" xfId="6" applyNumberFormat="1" applyFont="1" applyBorder="1" applyAlignment="1">
      <alignment horizontal="center" vertical="center" wrapText="1"/>
    </xf>
    <xf numFmtId="169" fontId="16" fillId="0" borderId="18" xfId="6" applyNumberFormat="1" applyFont="1" applyBorder="1" applyAlignment="1">
      <alignment horizontal="left" vertical="center"/>
    </xf>
    <xf numFmtId="169" fontId="16" fillId="0" borderId="0" xfId="6" applyNumberFormat="1" applyFont="1" applyBorder="1" applyAlignment="1">
      <alignment horizontal="left" vertical="center"/>
    </xf>
    <xf numFmtId="0" fontId="17" fillId="0" borderId="0" xfId="6" applyFont="1" applyFill="1" applyBorder="1" applyAlignment="1">
      <alignment horizontal="center" vertical="center"/>
    </xf>
    <xf numFmtId="0" fontId="17" fillId="0" borderId="11" xfId="6" applyFont="1" applyFill="1" applyBorder="1" applyAlignment="1">
      <alignment horizontal="center" vertical="center"/>
    </xf>
    <xf numFmtId="0" fontId="9" fillId="0" borderId="16" xfId="4" applyFont="1" applyBorder="1" applyAlignment="1">
      <alignment horizontal="center"/>
    </xf>
    <xf numFmtId="0" fontId="9" fillId="0" borderId="7" xfId="4" applyFont="1" applyBorder="1" applyAlignment="1">
      <alignment horizontal="center"/>
    </xf>
    <xf numFmtId="0" fontId="15" fillId="7" borderId="36" xfId="6" applyFont="1" applyFill="1" applyBorder="1" applyAlignment="1">
      <alignment horizontal="center" vertical="center"/>
    </xf>
    <xf numFmtId="0" fontId="15" fillId="7" borderId="6" xfId="6" applyFont="1" applyFill="1" applyBorder="1" applyAlignment="1">
      <alignment horizontal="center" vertical="center"/>
    </xf>
    <xf numFmtId="0" fontId="15" fillId="7" borderId="10" xfId="6" applyFont="1" applyFill="1" applyBorder="1" applyAlignment="1">
      <alignment horizontal="center" vertical="center"/>
    </xf>
    <xf numFmtId="169" fontId="16" fillId="0" borderId="36" xfId="6" applyNumberFormat="1" applyFont="1" applyBorder="1" applyAlignment="1">
      <alignment horizontal="left" vertical="center"/>
    </xf>
    <xf numFmtId="169" fontId="16" fillId="0" borderId="6" xfId="6" applyNumberFormat="1" applyFont="1" applyBorder="1" applyAlignment="1">
      <alignment horizontal="left" vertical="center"/>
    </xf>
    <xf numFmtId="0" fontId="17" fillId="0" borderId="6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17" fillId="0" borderId="0" xfId="6" applyFont="1" applyBorder="1" applyAlignment="1">
      <alignment horizontal="left" vertical="top" wrapText="1"/>
    </xf>
    <xf numFmtId="0" fontId="17" fillId="0" borderId="11" xfId="6" applyFont="1" applyBorder="1" applyAlignment="1">
      <alignment horizontal="left" vertical="top" wrapText="1"/>
    </xf>
    <xf numFmtId="169" fontId="16" fillId="0" borderId="16" xfId="6" applyNumberFormat="1" applyFont="1" applyBorder="1" applyAlignment="1">
      <alignment horizontal="left" vertical="center"/>
    </xf>
    <xf numFmtId="169" fontId="16" fillId="0" borderId="7" xfId="6" applyNumberFormat="1" applyFont="1" applyBorder="1" applyAlignment="1">
      <alignment horizontal="left" vertical="center"/>
    </xf>
    <xf numFmtId="0" fontId="17" fillId="0" borderId="7" xfId="6" applyFont="1" applyBorder="1" applyAlignment="1">
      <alignment horizontal="center" vertical="center"/>
    </xf>
    <xf numFmtId="0" fontId="17" fillId="0" borderId="13" xfId="6" applyFont="1" applyBorder="1" applyAlignment="1">
      <alignment horizontal="center" vertical="center"/>
    </xf>
    <xf numFmtId="0" fontId="24" fillId="0" borderId="6" xfId="4" applyFont="1" applyBorder="1" applyAlignment="1">
      <alignment horizontal="right" vertical="center"/>
    </xf>
    <xf numFmtId="0" fontId="17" fillId="0" borderId="0" xfId="6" applyFont="1" applyBorder="1" applyAlignment="1">
      <alignment horizontal="left" vertical="center"/>
    </xf>
    <xf numFmtId="0" fontId="17" fillId="0" borderId="11" xfId="6" applyFont="1" applyBorder="1" applyAlignment="1">
      <alignment horizontal="left" vertical="center"/>
    </xf>
    <xf numFmtId="49" fontId="17" fillId="0" borderId="7" xfId="6" applyNumberFormat="1" applyFont="1" applyBorder="1" applyAlignment="1">
      <alignment horizontal="center" vertical="center"/>
    </xf>
    <xf numFmtId="49" fontId="17" fillId="0" borderId="13" xfId="6" applyNumberFormat="1" applyFont="1" applyBorder="1" applyAlignment="1">
      <alignment horizontal="center" vertical="center"/>
    </xf>
    <xf numFmtId="0" fontId="17" fillId="0" borderId="7" xfId="6" applyFont="1" applyBorder="1" applyAlignment="1">
      <alignment horizontal="left" vertical="center"/>
    </xf>
    <xf numFmtId="0" fontId="16" fillId="0" borderId="13" xfId="6" applyFont="1" applyBorder="1" applyAlignment="1">
      <alignment horizontal="left" vertical="center"/>
    </xf>
    <xf numFmtId="0" fontId="17" fillId="0" borderId="0" xfId="6" applyFont="1" applyFill="1" applyBorder="1" applyAlignment="1">
      <alignment horizontal="left" vertical="center"/>
    </xf>
    <xf numFmtId="0" fontId="17" fillId="0" borderId="11" xfId="6" applyFont="1" applyFill="1" applyBorder="1" applyAlignment="1">
      <alignment horizontal="left" vertical="center"/>
    </xf>
  </cellXfs>
  <cellStyles count="7">
    <cellStyle name="Calculation" xfId="3" builtinId="22"/>
    <cellStyle name="Input" xfId="1" builtinId="20"/>
    <cellStyle name="Normal" xfId="0" builtinId="0"/>
    <cellStyle name="Normal 2 3" xfId="4"/>
    <cellStyle name="Normal 2 4" xfId="5"/>
    <cellStyle name="Normal_Linelist" xfId="6"/>
    <cellStyle name="Output" xfId="2" builtinId="21"/>
  </cellStyles>
  <dxfs count="13"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88311</xdr:colOff>
      <xdr:row>33</xdr:row>
      <xdr:rowOff>68580</xdr:rowOff>
    </xdr:from>
    <xdr:to>
      <xdr:col>18</xdr:col>
      <xdr:colOff>285917</xdr:colOff>
      <xdr:row>41</xdr:row>
      <xdr:rowOff>268605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12557" y="10727255"/>
          <a:ext cx="2883693" cy="28836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142791</xdr:colOff>
      <xdr:row>0</xdr:row>
      <xdr:rowOff>274320</xdr:rowOff>
    </xdr:from>
    <xdr:to>
      <xdr:col>5</xdr:col>
      <xdr:colOff>314334</xdr:colOff>
      <xdr:row>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874" y="273843"/>
          <a:ext cx="2162175" cy="21621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ducts/N2%20Generator/HN-700/HY-ME-DS-N2-0014-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1-2"/>
      <sheetName val="Page2-2"/>
    </sheetNames>
    <sheetDataSet>
      <sheetData sheetId="0">
        <row r="1">
          <cell r="G1" t="str">
            <v>Title: Data Sheet for HN-700 PSA Nitrogen Generator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 t="str">
            <v>Document Number: HY-ME-DS-N2-0014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2"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 t="str">
            <v>Rev: 00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</row>
        <row r="3"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id="3" name="Table3" displayName="Table3" ref="F50:M64" totalsRowShown="0" dataDxfId="5" tableBorderDxfId="4">
  <autoFilter ref="F50:M64"/>
  <tableColumns count="8">
    <tableColumn id="1" name="N2 Model-Oxymat"/>
    <tableColumn id="2" name="Adsorbent Volume, Lit">
      <calculatedColumnFormula>0.95*Table3[[#This Row],[Towers Net Volume, Lit]]</calculatedColumnFormula>
    </tableColumn>
    <tableColumn id="3" name="Adsorbent Weight, kg">
      <calculatedColumnFormula>Table3[[#This Row],[Adsorbent Volume, Lit]]*0.65</calculatedColumnFormula>
    </tableColumn>
    <tableColumn id="4" name="ID, mm"/>
    <tableColumn id="5" name="TL-TL, mm"/>
    <tableColumn id="6" name="Head Factor"/>
    <tableColumn id="7" name="Towers Net Volume, Lit">
      <calculatedColumnFormula>2*RIGHT(F51,1)*(PI()/4*Table3[[#This Row],[ID, mm]]^2*Table3[[#This Row],[TL-TL, mm]]+PI()/(6*Table3[[#This Row],[Head Factor]])*Table3[[#This Row],[ID, mm]]^3)/1000000</calculatedColumnFormula>
    </tableColumn>
    <tableColumn id="8" name="Generator Dimens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6" displayName="Table6" ref="F66:M82" totalsRowShown="0" dataDxfId="2" headerRowBorderDxfId="3" tableBorderDxfId="1" totalsRowBorderDxfId="0">
  <autoFilter ref="F66:M82"/>
  <tableColumns count="8">
    <tableColumn id="1" name="N2 Model-Havayar"/>
    <tableColumn id="2" name="Adsorbent Volume, Lit">
      <calculatedColumnFormula>0.95*Table6[[#This Row],[Towers Net Volume, Lit]]</calculatedColumnFormula>
    </tableColumn>
    <tableColumn id="3" name="Adsorbent Weight, kg">
      <calculatedColumnFormula>Table6[[#This Row],[Adsorbent Volume, Lit]]*0.65</calculatedColumnFormula>
    </tableColumn>
    <tableColumn id="4" name="ID, mm"/>
    <tableColumn id="5" name="TL-TL, mm"/>
    <tableColumn id="6" name="Head Factor"/>
    <tableColumn id="7" name="Towers Net Volume, Lit">
      <calculatedColumnFormula>2*RIGHT(F67,1)*(PI()/4*Table6[[#This Row],[ID, mm]]^2*Table6[[#This Row],[TL-TL, mm]]+PI()/(6*Table6[[#This Row],[Head Factor]])*Table6[[#This Row],[ID, mm]]^3)/1000000</calculatedColumnFormula>
    </tableColumn>
    <tableColumn id="8" name="Generator Dimension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2" name="Table12" displayName="Table12" ref="F85:G102" totalsRowShown="0">
  <autoFilter ref="F85:G102"/>
  <sortState ref="F86:G99">
    <sortCondition descending="1" ref="G86:G99"/>
  </sortState>
  <tableColumns count="2">
    <tableColumn id="1" name="Model"/>
    <tableColumn id="2" name="Actual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8"/>
  <sheetViews>
    <sheetView topLeftCell="A31" zoomScale="90" workbookViewId="0">
      <selection activeCell="D38" sqref="D38"/>
    </sheetView>
  </sheetViews>
  <sheetFormatPr defaultRowHeight="15" x14ac:dyDescent="0.25"/>
  <cols>
    <col min="1" max="1" width="13.28515625" customWidth="1"/>
    <col min="2" max="2" width="64.85546875" bestFit="1" customWidth="1"/>
    <col min="3" max="3" width="10.7109375" bestFit="1" customWidth="1"/>
    <col min="4" max="4" width="23" bestFit="1" customWidth="1"/>
    <col min="5" max="12" width="10.7109375" customWidth="1"/>
  </cols>
  <sheetData>
    <row r="1" spans="1:12" ht="21.75" thickBot="1" x14ac:dyDescent="0.3">
      <c r="A1" s="18" t="s">
        <v>67</v>
      </c>
      <c r="B1" s="19" t="s">
        <v>25</v>
      </c>
      <c r="C1" s="19" t="s">
        <v>65</v>
      </c>
      <c r="D1" s="19" t="s">
        <v>66</v>
      </c>
      <c r="E1" s="88" t="s">
        <v>64</v>
      </c>
      <c r="F1" s="88"/>
      <c r="G1" s="88"/>
      <c r="H1" s="88"/>
      <c r="I1" s="88"/>
      <c r="J1" s="88"/>
      <c r="K1" s="88"/>
      <c r="L1" s="89"/>
    </row>
    <row r="2" spans="1:12" ht="21" customHeight="1" x14ac:dyDescent="0.25">
      <c r="A2" s="90" t="s">
        <v>100</v>
      </c>
      <c r="B2" s="1" t="s">
        <v>99</v>
      </c>
      <c r="C2" s="15" t="s">
        <v>2</v>
      </c>
      <c r="D2" s="22">
        <v>7</v>
      </c>
      <c r="E2" s="1"/>
      <c r="F2" s="1"/>
      <c r="G2" s="1"/>
      <c r="H2" s="1"/>
      <c r="I2" s="1"/>
      <c r="J2" s="1"/>
      <c r="K2" s="1"/>
      <c r="L2" s="23"/>
    </row>
    <row r="3" spans="1:12" x14ac:dyDescent="0.25">
      <c r="A3" s="98"/>
      <c r="B3" s="1" t="s">
        <v>102</v>
      </c>
      <c r="C3" s="15" t="s">
        <v>29</v>
      </c>
      <c r="D3" s="22">
        <f>IF(D8&lt;=99.99,0.8,0.4)</f>
        <v>0.8</v>
      </c>
      <c r="E3" s="1" t="s">
        <v>101</v>
      </c>
      <c r="F3" s="1"/>
      <c r="G3" s="1"/>
      <c r="H3" s="1"/>
      <c r="I3" s="1"/>
      <c r="J3" s="1"/>
      <c r="K3" s="1"/>
      <c r="L3" s="23"/>
    </row>
    <row r="4" spans="1:12" x14ac:dyDescent="0.25">
      <c r="A4" s="98"/>
      <c r="B4" s="1" t="s">
        <v>98</v>
      </c>
      <c r="C4" s="8" t="s">
        <v>3</v>
      </c>
      <c r="D4" s="22">
        <v>30</v>
      </c>
      <c r="E4" s="95" t="str">
        <f>IF(OR(AND(D4&gt;50,D8&lt;=99.99),AND(D4&gt;40,D8&gt;99.99)),"Inlet temperature is too high."," ")</f>
        <v xml:space="preserve"> </v>
      </c>
      <c r="F4" s="96"/>
      <c r="G4" s="96"/>
      <c r="H4" s="1"/>
      <c r="I4" s="1"/>
      <c r="J4" s="1"/>
      <c r="K4" s="1"/>
      <c r="L4" s="23"/>
    </row>
    <row r="5" spans="1:12" ht="15" customHeight="1" x14ac:dyDescent="0.25">
      <c r="A5" s="98"/>
      <c r="B5" s="14" t="s">
        <v>61</v>
      </c>
      <c r="C5" s="15"/>
      <c r="D5" s="22" t="s">
        <v>18</v>
      </c>
      <c r="E5" s="1"/>
      <c r="F5" s="1"/>
      <c r="G5" s="1"/>
      <c r="H5" s="1"/>
      <c r="I5" s="1"/>
      <c r="J5" s="1"/>
      <c r="K5" s="1"/>
      <c r="L5" s="23"/>
    </row>
    <row r="6" spans="1:12" ht="15.75" customHeight="1" thickBot="1" x14ac:dyDescent="0.3">
      <c r="A6" s="91"/>
      <c r="B6" s="16" t="s">
        <v>62</v>
      </c>
      <c r="C6" s="17"/>
      <c r="D6" s="24" t="s">
        <v>19</v>
      </c>
      <c r="E6" s="25"/>
      <c r="F6" s="25"/>
      <c r="G6" s="25"/>
      <c r="H6" s="25"/>
      <c r="I6" s="25"/>
      <c r="J6" s="25"/>
      <c r="K6" s="25"/>
      <c r="L6" s="26"/>
    </row>
    <row r="7" spans="1:12" ht="15" customHeight="1" x14ac:dyDescent="0.25">
      <c r="A7" s="90" t="s">
        <v>56</v>
      </c>
      <c r="B7" s="20" t="s">
        <v>50</v>
      </c>
      <c r="C7" s="20" t="s">
        <v>0</v>
      </c>
      <c r="D7" s="22">
        <v>320</v>
      </c>
      <c r="E7" s="20"/>
      <c r="F7" s="20"/>
      <c r="G7" s="20"/>
      <c r="H7" s="20"/>
      <c r="I7" s="20"/>
      <c r="J7" s="20"/>
      <c r="K7" s="20"/>
      <c r="L7" s="21"/>
    </row>
    <row r="8" spans="1:12" ht="15" customHeight="1" x14ac:dyDescent="0.25">
      <c r="A8" s="98"/>
      <c r="B8" s="1" t="s">
        <v>51</v>
      </c>
      <c r="C8" s="1" t="s">
        <v>1</v>
      </c>
      <c r="D8" s="22">
        <v>99.99</v>
      </c>
      <c r="E8" s="1" t="str">
        <f>IF(D8&gt;99.99,"High Purity Configuration is required.","Low Purity Configuration is required.")</f>
        <v>Low Purity Configuration is required.</v>
      </c>
      <c r="F8" s="1"/>
      <c r="G8" s="1"/>
      <c r="H8" s="1"/>
      <c r="I8" s="1"/>
      <c r="J8" s="1"/>
      <c r="K8" s="1"/>
      <c r="L8" s="23"/>
    </row>
    <row r="9" spans="1:12" ht="15" customHeight="1" x14ac:dyDescent="0.25">
      <c r="A9" s="98"/>
      <c r="B9" s="1" t="s">
        <v>27</v>
      </c>
      <c r="C9" s="27" t="s">
        <v>4</v>
      </c>
      <c r="D9" s="22">
        <v>1</v>
      </c>
      <c r="E9" s="95" t="str">
        <f ca="1">IF(AND(D28="Custom model Required",D8&gt;99.99),"Increase the number of N2 Generators on duty."," ")</f>
        <v xml:space="preserve"> </v>
      </c>
      <c r="F9" s="96"/>
      <c r="G9" s="96"/>
      <c r="H9" s="96"/>
      <c r="I9" s="96"/>
      <c r="J9" s="1"/>
      <c r="K9" s="1"/>
      <c r="L9" s="23"/>
    </row>
    <row r="10" spans="1:12" ht="15" customHeight="1" x14ac:dyDescent="0.25">
      <c r="A10" s="98"/>
      <c r="B10" s="1" t="s">
        <v>5</v>
      </c>
      <c r="C10" s="15" t="s">
        <v>4</v>
      </c>
      <c r="D10" s="22" t="s">
        <v>263</v>
      </c>
      <c r="E10" s="95" t="str">
        <f>IF(AND(D10="SHE",D8&gt;99.99),"For High Purity solely select Kurary."," ")</f>
        <v xml:space="preserve"> </v>
      </c>
      <c r="F10" s="96"/>
      <c r="G10" s="96"/>
      <c r="H10" s="96"/>
      <c r="I10" s="1"/>
      <c r="J10" s="1"/>
      <c r="K10" s="1"/>
      <c r="L10" s="23"/>
    </row>
    <row r="11" spans="1:12" ht="15" customHeight="1" thickBot="1" x14ac:dyDescent="0.3">
      <c r="A11" s="91"/>
      <c r="B11" s="25" t="s">
        <v>60</v>
      </c>
      <c r="C11" s="17"/>
      <c r="D11" s="97" t="s">
        <v>264</v>
      </c>
      <c r="E11" s="97" t="s">
        <v>264</v>
      </c>
      <c r="F11" s="97" t="s">
        <v>264</v>
      </c>
      <c r="G11" s="28"/>
      <c r="H11" s="28"/>
      <c r="I11" s="25"/>
      <c r="J11" s="25"/>
      <c r="K11" s="25"/>
      <c r="L11" s="26"/>
    </row>
    <row r="12" spans="1:12" ht="15.75" customHeight="1" thickBot="1" x14ac:dyDescent="0.3">
      <c r="A12" s="48"/>
      <c r="B12" s="25" t="s">
        <v>54</v>
      </c>
      <c r="C12" s="17" t="s">
        <v>2</v>
      </c>
      <c r="D12" s="29">
        <f>D2-D3-IF(D8&gt;99.99,1.1)</f>
        <v>6.2</v>
      </c>
      <c r="E12" s="25"/>
      <c r="F12" s="25"/>
      <c r="G12" s="25"/>
      <c r="H12" s="25"/>
      <c r="I12" s="25"/>
      <c r="J12" s="25"/>
      <c r="K12" s="25"/>
      <c r="L12" s="26"/>
    </row>
    <row r="13" spans="1:12" ht="15" customHeight="1" x14ac:dyDescent="0.25">
      <c r="A13" s="90" t="s">
        <v>57</v>
      </c>
      <c r="B13" s="93" t="s">
        <v>13</v>
      </c>
      <c r="C13" s="30" t="s">
        <v>12</v>
      </c>
      <c r="D13" s="31" t="str">
        <f>IF(D10="Kurary",10^(0.000491*LOG10(100-D8)^6+0.003001*LOG10(100-D8)^5+0.008966*LOG10(100-D8)^4+0.037449*LOG10(100-D8)^3+0.093963*LOG10(100-D8)^2+0.263951*LOG10(100-D8)+2.285782),"N/A")</f>
        <v>N/A</v>
      </c>
      <c r="E13" s="32" t="s">
        <v>52</v>
      </c>
      <c r="F13" s="20"/>
      <c r="G13" s="20"/>
      <c r="H13" s="20"/>
      <c r="I13" s="20"/>
      <c r="J13" s="20"/>
      <c r="K13" s="20"/>
      <c r="L13" s="21"/>
    </row>
    <row r="14" spans="1:12" ht="15" customHeight="1" x14ac:dyDescent="0.25">
      <c r="A14" s="98"/>
      <c r="B14" s="94"/>
      <c r="C14" s="8" t="s">
        <v>55</v>
      </c>
      <c r="D14" s="33">
        <f>IF(D10="Kurary","N/A",IF(D8&lt;=99,10^(0.806039*LOG10(100-D8)^3-1.113474*LOG10(100-D8)^2+0.754*LOG10(100-D8)+2.50515),10^(0.010816*LOG10(100-D8) ^3+ 0.02797*LOG10(100-D8) ^2+ 0.200085 *LOG10(100-D8)+ 2.50515)))</f>
        <v>134.99945026625224</v>
      </c>
      <c r="E14" s="27" t="s">
        <v>53</v>
      </c>
      <c r="F14" s="1"/>
      <c r="G14" s="1"/>
      <c r="H14" s="1"/>
      <c r="I14" s="1"/>
      <c r="J14" s="1"/>
      <c r="K14" s="1"/>
      <c r="L14" s="23"/>
    </row>
    <row r="15" spans="1:12" ht="15" customHeight="1" x14ac:dyDescent="0.25">
      <c r="A15" s="98"/>
      <c r="B15" s="34" t="s">
        <v>22</v>
      </c>
      <c r="C15" s="3" t="s">
        <v>4</v>
      </c>
      <c r="D15" s="35">
        <f>IF(D10="kurary",0.0094403599*LOG10(100-D8) ^6+ 0.0499013483*LOG10(100-D8) ^5+ 0.0421019779*LOG10(100-D8) ^4- 0.1439716442*LOG10(100-D8) ^3- 0.1176149993*LOG10(100-D8) ^2- 0.7031367786 *LOG10(100-D8)+ 2.4268779343,IF(D8&lt;=98,10^(-0.193369*LOG10(100-D8) ^2+ 0.040839 *LOG10(100-D8)+ 0.366957),10^(-0.029299*LOG10(100-D8) ^3- 0.094031*LOG10(100-D8) ^2- 0.170283 *LOG10(100-D8)+ 0.424576)))</f>
        <v>4.2015544872422348</v>
      </c>
      <c r="E15" s="1"/>
      <c r="F15" s="1"/>
      <c r="G15" s="1"/>
      <c r="H15" s="1"/>
      <c r="I15" s="1"/>
      <c r="J15" s="1"/>
      <c r="K15" s="1"/>
      <c r="L15" s="23"/>
    </row>
    <row r="16" spans="1:12" ht="15" customHeight="1" x14ac:dyDescent="0.25">
      <c r="A16" s="98"/>
      <c r="B16" s="1" t="s">
        <v>14</v>
      </c>
      <c r="C16" s="8" t="s">
        <v>3</v>
      </c>
      <c r="D16" s="33">
        <f>D4</f>
        <v>30</v>
      </c>
      <c r="E16" s="1"/>
      <c r="F16" s="1"/>
      <c r="G16" s="1"/>
      <c r="H16" s="1"/>
      <c r="I16" s="1"/>
      <c r="J16" s="1"/>
      <c r="K16" s="1"/>
      <c r="L16" s="23"/>
    </row>
    <row r="17" spans="1:12" ht="15" customHeight="1" x14ac:dyDescent="0.25">
      <c r="A17" s="98"/>
      <c r="B17" s="1" t="s">
        <v>20</v>
      </c>
      <c r="C17" s="1"/>
      <c r="D17" s="33">
        <f>MIN(IF(D10="Kurary",IF(D8&lt;=99.95,IF(D16&lt;=35,1-(1-0.994)*(D16-20),0.91-(1-0.98)*(D16-35)),IF(D16&lt;=35,1-(1-0.99)*(D16-20),0.85-(1-0.98)*(D16-35))),IF(D16&lt;=40,1-0.015*(D16-30),0.85-0.03*(D16-40))),1)</f>
        <v>1</v>
      </c>
      <c r="E17" s="1"/>
      <c r="F17" s="1"/>
      <c r="G17" s="1"/>
      <c r="H17" s="1"/>
      <c r="I17" s="1"/>
      <c r="J17" s="1"/>
      <c r="K17" s="1"/>
      <c r="L17" s="23"/>
    </row>
    <row r="18" spans="1:12" ht="15" customHeight="1" x14ac:dyDescent="0.25">
      <c r="A18" s="98"/>
      <c r="B18" s="1" t="s">
        <v>23</v>
      </c>
      <c r="C18" s="1"/>
      <c r="D18" s="76">
        <f>IF(D10="Kurary",IF(D16&lt;=20,1,IF(D8&lt;=99.95,IF(D16&lt;=35,1+(1.007-1)*(D16-20),1.105+(1.01-1)*(D16-35)),IF(D16&lt;=35,1+(1.0142-1)*(D16-20),1.213+(1.015-1)*(D16-35)))),IF(D10="SHE",IF(D16&lt;=30,1,0.000000058775058*D16 ^5- 0.000014590199083*D16 ^4+ 0.001407216486304*D16 ^3- 0.065564545981107*D16 ^2+ 1.4868407102015 *D16- 12.2017845116702)))</f>
        <v>1</v>
      </c>
      <c r="E18" s="1"/>
      <c r="F18" s="1"/>
      <c r="G18" s="1"/>
      <c r="H18" s="1"/>
      <c r="I18" s="1"/>
      <c r="J18" s="1"/>
      <c r="K18" s="1"/>
      <c r="L18" s="23"/>
    </row>
    <row r="19" spans="1:12" ht="15" customHeight="1" x14ac:dyDescent="0.25">
      <c r="A19" s="98"/>
      <c r="B19" s="1" t="s">
        <v>15</v>
      </c>
      <c r="C19" s="1" t="s">
        <v>2</v>
      </c>
      <c r="D19" s="33">
        <f>D2-0.5*D3</f>
        <v>6.6</v>
      </c>
      <c r="E19" s="1"/>
      <c r="F19" s="1"/>
      <c r="G19" s="1"/>
      <c r="H19" s="1"/>
      <c r="I19" s="1"/>
      <c r="J19" s="1"/>
      <c r="K19" s="1"/>
      <c r="L19" s="23"/>
    </row>
    <row r="20" spans="1:12" ht="15" customHeight="1" x14ac:dyDescent="0.25">
      <c r="A20" s="98"/>
      <c r="B20" s="1" t="s">
        <v>21</v>
      </c>
      <c r="C20" s="1"/>
      <c r="D20" s="33">
        <f>IF(D10="Kurary",-0.0001846104*D19 ^6+ 0.0067119732*D19 ^5- 0.099103766*D19 ^4+ 0.756628608*D19 ^3- 3.1462859806*D19 ^2+ 6.9343368208*D19- 5.9697020246,- 0.018839*D19 ^3+ 0.415*D19 ^2- 2.881161 *D19+ 7.135)</f>
        <v>0.78060025599999783</v>
      </c>
      <c r="E20" s="1"/>
      <c r="F20" s="1"/>
      <c r="G20" s="1"/>
      <c r="H20" s="1"/>
      <c r="I20" s="1"/>
      <c r="J20" s="1"/>
      <c r="K20" s="1"/>
      <c r="L20" s="23"/>
    </row>
    <row r="21" spans="1:12" ht="15" customHeight="1" x14ac:dyDescent="0.25">
      <c r="A21" s="98"/>
      <c r="B21" s="1" t="s">
        <v>24</v>
      </c>
      <c r="C21" s="1"/>
      <c r="D21" s="33">
        <f>IF(D10="Kurary",IF(D19&lt;=6.4, 0.0005103731*D19 ^4- 0.0129155014*D19 ^3+ 0.130994319*D19 ^2- 0.639306242 *D19+ 2.2547418268,IF(D8&lt;=99.9,1,1+(-1-LOG10(100-D8))*(-0.005948*(D19-6.4)^3+0.029567*(D19-6.4)^2-0.008657*(D19-6.4)))),IF(D8&lt;=99.9,-0.0030682643427724*D19 ^3+ 0.0755446623093405*D19 ^2- 0.633151779230019 *D19+ 2.80130718954188,0.017857142857146*D19 ^3- 0.382142857142938*D19 ^2+ 2.64761904761971 *D19- 4.86666666666849))</f>
        <v>1.0953333333332669</v>
      </c>
      <c r="E21" s="1"/>
      <c r="F21" s="1"/>
      <c r="G21" s="1"/>
      <c r="H21" s="1"/>
      <c r="I21" s="1"/>
      <c r="J21" s="1"/>
      <c r="K21" s="1"/>
      <c r="L21" s="23"/>
    </row>
    <row r="22" spans="1:12" ht="15" customHeight="1" x14ac:dyDescent="0.25">
      <c r="A22" s="98"/>
      <c r="B22" s="47" t="s">
        <v>86</v>
      </c>
      <c r="C22" s="1"/>
      <c r="D22" s="33">
        <v>0.9</v>
      </c>
      <c r="E22" s="1"/>
      <c r="F22" s="1"/>
      <c r="G22" s="1"/>
      <c r="H22" s="1"/>
      <c r="I22" s="1"/>
      <c r="J22" s="1"/>
      <c r="K22" s="1"/>
      <c r="L22" s="23"/>
    </row>
    <row r="23" spans="1:12" ht="15" customHeight="1" x14ac:dyDescent="0.25">
      <c r="A23" s="98"/>
      <c r="B23" s="47" t="s">
        <v>88</v>
      </c>
      <c r="C23" s="1"/>
      <c r="D23" s="33">
        <f>IF(D8&lt;=99.99,1,0.545)</f>
        <v>1</v>
      </c>
      <c r="E23" s="1"/>
      <c r="F23" s="1"/>
      <c r="G23" s="1"/>
      <c r="H23" s="1"/>
      <c r="I23" s="1"/>
      <c r="J23" s="1"/>
      <c r="K23" s="1"/>
      <c r="L23" s="23"/>
    </row>
    <row r="24" spans="1:12" ht="15" customHeight="1" x14ac:dyDescent="0.25">
      <c r="A24" s="98"/>
      <c r="B24" s="1" t="s">
        <v>31</v>
      </c>
      <c r="C24" s="1" t="str">
        <f>IF(D10="Kurary",C13,C14)</f>
        <v>Nm3/ton.h</v>
      </c>
      <c r="D24" s="36">
        <f>IF(D10="Kurary",D13,D14)*D17*D20*D22*D23</f>
        <v>94.842544893925933</v>
      </c>
      <c r="E24" s="1"/>
      <c r="F24" s="1"/>
      <c r="G24" s="1"/>
      <c r="H24" s="1"/>
      <c r="I24" s="1"/>
      <c r="J24" s="1"/>
      <c r="K24" s="1"/>
      <c r="L24" s="23"/>
    </row>
    <row r="25" spans="1:12" ht="15" customHeight="1" x14ac:dyDescent="0.25">
      <c r="A25" s="98"/>
      <c r="B25" s="1" t="s">
        <v>87</v>
      </c>
      <c r="C25" s="1" t="s">
        <v>4</v>
      </c>
      <c r="D25" s="36">
        <f>D15*D18*D21</f>
        <v>4.602102681692382</v>
      </c>
      <c r="E25" s="1"/>
      <c r="F25" s="1"/>
      <c r="G25" s="1"/>
      <c r="H25" s="1"/>
      <c r="I25" s="1"/>
      <c r="J25" s="1"/>
      <c r="K25" s="1"/>
      <c r="L25" s="23"/>
    </row>
    <row r="26" spans="1:12" ht="15" customHeight="1" x14ac:dyDescent="0.25">
      <c r="A26" s="98"/>
      <c r="B26" s="94" t="s">
        <v>28</v>
      </c>
      <c r="C26" s="1" t="s">
        <v>17</v>
      </c>
      <c r="D26" s="37">
        <f>IF(D10="Kurary",D7/D9/(D24)*1000,D27/0.65)</f>
        <v>5190.7895645177005</v>
      </c>
      <c r="E26" s="1"/>
      <c r="F26" s="1"/>
      <c r="G26" s="1"/>
      <c r="H26" s="1"/>
      <c r="I26" s="1"/>
      <c r="J26" s="1"/>
      <c r="K26" s="1"/>
      <c r="L26" s="23"/>
    </row>
    <row r="27" spans="1:12" ht="15" customHeight="1" x14ac:dyDescent="0.25">
      <c r="A27" s="98"/>
      <c r="B27" s="94"/>
      <c r="C27" s="1" t="s">
        <v>16</v>
      </c>
      <c r="D27" s="37">
        <f>IF(D10="Kurary",D26*0.65,D7/D9/D24*1000)</f>
        <v>3374.0132169365056</v>
      </c>
      <c r="E27" s="1"/>
      <c r="F27" s="1"/>
      <c r="G27" s="1"/>
      <c r="H27" s="1"/>
      <c r="I27" s="1"/>
      <c r="J27" s="1"/>
      <c r="K27" s="1"/>
      <c r="L27" s="23"/>
    </row>
    <row r="28" spans="1:12" ht="15" customHeight="1" thickBot="1" x14ac:dyDescent="0.3">
      <c r="A28" s="98"/>
      <c r="B28" s="94" t="s">
        <v>82</v>
      </c>
      <c r="C28" s="2" t="s">
        <v>46</v>
      </c>
      <c r="D28" s="41" t="str">
        <f ca="1">_xlfn.IFNA(IF(D26=0,"#N/A",IF(D10="Kurary",INDEX(INDIRECT(CONCATENATE(D5,".N2.Generator.Models")),MATCH('Equipment Selection'!D26,INDIRECT(CONCATENATE(D5,".N2.Generator.Volume")),-1),1),INDEX(INDIRECT(CONCATENATE(D5,".N2.Generator.Models")),MATCH('Equipment Selection'!D27,INDIRECT(CONCATENATE(D5,".N2.Generator.Adsorbent.Weight")),-1),1))),"Custom Model Required")</f>
        <v>N-4500x2</v>
      </c>
      <c r="E28" s="1"/>
      <c r="F28" s="1"/>
      <c r="G28" s="1"/>
      <c r="H28" s="1"/>
      <c r="I28" s="1"/>
      <c r="J28" s="1"/>
      <c r="K28" s="1"/>
      <c r="L28" s="23"/>
    </row>
    <row r="29" spans="1:12" ht="15" customHeight="1" x14ac:dyDescent="0.25">
      <c r="A29" s="98"/>
      <c r="B29" s="94"/>
      <c r="C29" s="2" t="s">
        <v>47</v>
      </c>
      <c r="D29" s="46" t="s">
        <v>10</v>
      </c>
      <c r="E29" s="1"/>
      <c r="F29" s="1"/>
      <c r="G29" s="1"/>
      <c r="H29" s="1"/>
      <c r="I29" s="1"/>
      <c r="J29" s="1"/>
      <c r="K29" s="1"/>
      <c r="L29" s="23"/>
    </row>
    <row r="30" spans="1:12" ht="15" customHeight="1" x14ac:dyDescent="0.25">
      <c r="A30" s="98"/>
      <c r="B30" s="34" t="s">
        <v>243</v>
      </c>
      <c r="C30" s="2" t="s">
        <v>1</v>
      </c>
      <c r="D30" s="36">
        <f ca="1">INDEX(INDIRECT(CONCATENATE(D5,".N2.Generator.Adsorbent.Weight")),MATCH('Equipment Selection'!D28,INDIRECT(CONCATENATE(D5,".N2.Generator.Models")),0)+1)/D27*100</f>
        <v>69.617646891622201</v>
      </c>
      <c r="E30" s="1"/>
      <c r="F30" s="1"/>
      <c r="G30" s="1"/>
      <c r="H30" s="1"/>
      <c r="I30" s="1"/>
      <c r="J30" s="1"/>
      <c r="K30" s="1"/>
      <c r="L30" s="23"/>
    </row>
    <row r="31" spans="1:12" ht="15" customHeight="1" x14ac:dyDescent="0.25">
      <c r="A31" s="98"/>
      <c r="B31" s="34" t="s">
        <v>244</v>
      </c>
      <c r="C31" s="2" t="s">
        <v>1</v>
      </c>
      <c r="D31" s="36">
        <f ca="1">INDEX(INDIRECT(CONCATENATE(D5,".N2.Generator.Adsorbent.Weight")),MATCH('Equipment Selection'!D29,INDIRECT(CONCATENATE(D5,".N2.Generator.Models")),0))/D27*100</f>
        <v>103.65162337245424</v>
      </c>
      <c r="E31" s="1"/>
      <c r="F31" s="1"/>
      <c r="G31" s="1"/>
      <c r="H31" s="1"/>
      <c r="I31" s="1"/>
      <c r="J31" s="1"/>
      <c r="K31" s="1"/>
      <c r="L31" s="23"/>
    </row>
    <row r="32" spans="1:12" ht="15" customHeight="1" x14ac:dyDescent="0.25">
      <c r="A32" s="98"/>
      <c r="B32" s="34" t="s">
        <v>59</v>
      </c>
      <c r="C32" s="1"/>
      <c r="D32" s="33" t="str">
        <f>IFERROR(MID(D11,FIND("%",D11)-2,2),"Full")</f>
        <v xml:space="preserve"> 0</v>
      </c>
      <c r="E32" s="1"/>
      <c r="F32" s="1"/>
      <c r="G32" s="1"/>
      <c r="H32" s="1"/>
      <c r="I32" s="1"/>
      <c r="J32" s="1"/>
      <c r="K32" s="1"/>
      <c r="L32" s="23"/>
    </row>
    <row r="33" spans="1:12" ht="15" customHeight="1" x14ac:dyDescent="0.25">
      <c r="A33" s="98"/>
      <c r="B33" s="34" t="s">
        <v>91</v>
      </c>
      <c r="C33" s="1" t="str">
        <f ca="1">IF(D28="Custom Model Required","kg",IF(D10="Kurary","lit","kg"))</f>
        <v>kg</v>
      </c>
      <c r="D33" s="33">
        <f ca="1">IF(D28="Custom Model Required",D27*D9,IF(D10="Kurary",MIN(INDEX(INDIRECT(CONCATENATE(D5,".N2.Generator.Volume")),MATCH('Equipment Selection'!D29,INDIRECT(CONCATENATE(D5,".N2.Generator.Models")),0)),IF(D32="Full",99999999999,(1+D32/100)*D26)),MIN(INDEX(INDIRECT(CONCATENATE(D5,".N2.Generator.Adsorbent.Weight")),MATCH('Equipment Selection'!D29,INDIRECT(CONCATENATE(D5,".N2.Generator.Models")),0)),IF(D32="Full",99999999999,(1+D32/100)*'Equipment Selection'!D27)))*D9)</f>
        <v>3374.0132169365056</v>
      </c>
      <c r="E33" s="1"/>
      <c r="F33" s="1"/>
      <c r="G33" s="1"/>
      <c r="H33" s="1"/>
      <c r="I33" s="1"/>
      <c r="J33" s="1"/>
      <c r="K33" s="1"/>
      <c r="L33" s="23"/>
    </row>
    <row r="34" spans="1:12" ht="15" customHeight="1" x14ac:dyDescent="0.25">
      <c r="A34" s="98"/>
      <c r="B34" s="34" t="s">
        <v>94</v>
      </c>
      <c r="C34" s="2" t="s">
        <v>16</v>
      </c>
      <c r="D34" s="38">
        <f ca="1">IF(D28="Custom Model Required",D27*0.68/0.65,MIN(INDEX(INDIRECT(CONCATENATE(D5,".N2.Generator.Towers.Net.volume")),MATCH('Equipment Selection'!D29,INDIRECT(CONCATENATE(D5,".N2.Generator.Models")),0)),99999999999)*0.68)</f>
        <v>3851.1890543578643</v>
      </c>
      <c r="E34" s="1"/>
      <c r="F34" s="1"/>
      <c r="G34" s="1"/>
      <c r="H34" s="1"/>
      <c r="I34" s="1"/>
      <c r="J34" s="1"/>
      <c r="K34" s="1"/>
      <c r="L34" s="23"/>
    </row>
    <row r="35" spans="1:12" ht="15" customHeight="1" x14ac:dyDescent="0.25">
      <c r="A35" s="98"/>
      <c r="B35" s="34" t="s">
        <v>97</v>
      </c>
      <c r="C35" s="2" t="s">
        <v>17</v>
      </c>
      <c r="D35" s="38">
        <f ca="1">IF(D28="Custom Model Required",D26*1.2,MIN(INDEX(INDIRECT(CONCATENATE(D5,".N2.Generator.Towers.Net.volume")),MATCH('Equipment Selection'!D29,INDIRECT(CONCATENATE(D5,".N2.Generator.Models")),0)),99999999999)/RIGHT(D29,1))/2</f>
        <v>1415.8783288080383</v>
      </c>
      <c r="E35" s="1"/>
      <c r="F35" s="1"/>
      <c r="G35" s="1"/>
      <c r="H35" s="1"/>
      <c r="I35" s="1"/>
      <c r="J35" s="1"/>
      <c r="K35" s="1"/>
      <c r="L35" s="23"/>
    </row>
    <row r="36" spans="1:12" ht="15" customHeight="1" x14ac:dyDescent="0.25">
      <c r="A36" s="98"/>
      <c r="B36" s="34" t="s">
        <v>93</v>
      </c>
      <c r="C36" s="1" t="s">
        <v>0</v>
      </c>
      <c r="D36" s="38">
        <f ca="1">IF(AND(D28="Custom Model Required",D10="Kurary"),D33/0.65/1000*D24,D33/1000*D24)</f>
        <v>320</v>
      </c>
      <c r="E36" s="1"/>
      <c r="F36" s="1"/>
      <c r="G36" s="1"/>
      <c r="H36" s="1"/>
      <c r="I36" s="1"/>
      <c r="J36" s="1"/>
      <c r="K36" s="1"/>
      <c r="L36" s="23"/>
    </row>
    <row r="37" spans="1:12" ht="15" customHeight="1" thickBot="1" x14ac:dyDescent="0.3">
      <c r="A37" s="91"/>
      <c r="B37" s="39" t="s">
        <v>89</v>
      </c>
      <c r="C37" s="25" t="s">
        <v>0</v>
      </c>
      <c r="D37" s="40">
        <f ca="1">D36*D25+D9*IF(D8&lt;=99.99,((0.9*(D19-2.5)*RIGHT(D29,1)*(D35/1000)*273.15)/(273.15+D16))*(1800/55),D19*D35/1000*273.15*RIGHT(D29,1)/(273.15+D16)*(1800/110))</f>
        <v>1780.8041070994352</v>
      </c>
      <c r="E37" s="25"/>
      <c r="F37" s="25"/>
      <c r="G37" s="25"/>
      <c r="H37" s="25"/>
      <c r="I37" s="25"/>
      <c r="J37" s="25"/>
      <c r="K37" s="25"/>
      <c r="L37" s="26"/>
    </row>
    <row r="38" spans="1:12" x14ac:dyDescent="0.25">
      <c r="A38" s="90" t="s">
        <v>58</v>
      </c>
      <c r="B38" s="13" t="s">
        <v>48</v>
      </c>
      <c r="C38" s="20" t="s">
        <v>17</v>
      </c>
      <c r="D38" s="42">
        <f ca="1">IF(D8&gt;99.99,2*D35,0.15*D37/D9/90/0.5*1000/RIGHT(D29,1))</f>
        <v>2968.0068451657253</v>
      </c>
      <c r="E38" s="20"/>
      <c r="F38" s="20"/>
      <c r="G38" s="20"/>
      <c r="H38" s="20"/>
      <c r="I38" s="20"/>
      <c r="J38" s="20"/>
      <c r="K38" s="20"/>
      <c r="L38" s="21"/>
    </row>
    <row r="39" spans="1:12" ht="15.75" thickBot="1" x14ac:dyDescent="0.3">
      <c r="A39" s="91"/>
      <c r="B39" s="25" t="s">
        <v>92</v>
      </c>
      <c r="C39" s="43" t="str">
        <f>D6</f>
        <v>Havayar</v>
      </c>
      <c r="D39" s="41" t="str">
        <f ca="1">INDEX(INDIRECT(CONCATENATE(D6,".Receiver.Models")),MATCH('Equipment Selection'!D38,INDIRECT(CONCATENATE(D6,".Receiver.Capacity")),-1))</f>
        <v>AR-3500</v>
      </c>
      <c r="E39" s="25"/>
      <c r="F39" s="25"/>
      <c r="G39" s="25"/>
      <c r="H39" s="25"/>
      <c r="I39" s="25"/>
      <c r="J39" s="25"/>
      <c r="K39" s="25"/>
      <c r="L39" s="26"/>
    </row>
    <row r="40" spans="1:12" x14ac:dyDescent="0.25">
      <c r="A40" s="90" t="s">
        <v>68</v>
      </c>
      <c r="B40" s="20" t="s">
        <v>63</v>
      </c>
      <c r="C40" s="20" t="s">
        <v>17</v>
      </c>
      <c r="D40" s="42">
        <f ca="1">IF(D8&gt;99.99,2.8*D35,(D36/D9/180/0.5*1000+0.15*D33*D22/D9*D12/0.5)/RIGHT(D29,1))</f>
        <v>4601.8268403536331</v>
      </c>
      <c r="E40" s="20"/>
      <c r="F40" s="20"/>
      <c r="G40" s="20"/>
      <c r="H40" s="20"/>
      <c r="I40" s="20"/>
      <c r="J40" s="20"/>
      <c r="K40" s="20"/>
      <c r="L40" s="21"/>
    </row>
    <row r="41" spans="1:12" ht="15.75" thickBot="1" x14ac:dyDescent="0.3">
      <c r="A41" s="91"/>
      <c r="B41" s="25" t="s">
        <v>49</v>
      </c>
      <c r="C41" s="43" t="str">
        <f>D6</f>
        <v>Havayar</v>
      </c>
      <c r="D41" s="41" t="str">
        <f ca="1">INDEX(INDIRECT(CONCATENATE(D6,".Receiver.Models")),MATCH('Equipment Selection'!D40,INDIRECT(CONCATENATE(D6,".Receiver.Capacity")),-1))</f>
        <v>AR-5000</v>
      </c>
      <c r="E41" s="25"/>
      <c r="F41" s="25"/>
      <c r="G41" s="25"/>
      <c r="H41" s="25"/>
      <c r="I41" s="25"/>
      <c r="J41" s="25"/>
      <c r="K41" s="25"/>
      <c r="L41" s="26"/>
    </row>
    <row r="44" spans="1:12" x14ac:dyDescent="0.25">
      <c r="D44" s="7"/>
    </row>
    <row r="45" spans="1:12" x14ac:dyDescent="0.25">
      <c r="D45" s="7"/>
    </row>
    <row r="46" spans="1:12" x14ac:dyDescent="0.25">
      <c r="D46" s="7"/>
    </row>
    <row r="47" spans="1:12" x14ac:dyDescent="0.25">
      <c r="D47" s="7"/>
    </row>
    <row r="48" spans="1:12" x14ac:dyDescent="0.25">
      <c r="D48" s="7"/>
    </row>
    <row r="49" spans="2:13" x14ac:dyDescent="0.25">
      <c r="D49" s="7"/>
    </row>
    <row r="50" spans="2:13" x14ac:dyDescent="0.25">
      <c r="D50" s="7"/>
      <c r="E50" s="99" t="s">
        <v>18</v>
      </c>
      <c r="F50" s="5" t="s">
        <v>7</v>
      </c>
      <c r="G50" s="5" t="s">
        <v>11</v>
      </c>
      <c r="H50" s="5" t="s">
        <v>6</v>
      </c>
      <c r="I50" s="44" t="s">
        <v>30</v>
      </c>
      <c r="J50" s="44" t="s">
        <v>95</v>
      </c>
      <c r="K50" s="44" t="s">
        <v>81</v>
      </c>
      <c r="L50" s="44" t="s">
        <v>96</v>
      </c>
      <c r="M50" s="44" t="s">
        <v>260</v>
      </c>
    </row>
    <row r="51" spans="2:13" x14ac:dyDescent="0.25">
      <c r="E51" s="99"/>
      <c r="F51" s="9" t="s">
        <v>10</v>
      </c>
      <c r="G51" s="10">
        <f>0.95*Table3[[#This Row],[Towers Net Volume, Lit]]</f>
        <v>5380.3376494705453</v>
      </c>
      <c r="H51" s="10">
        <f>Table3[[#This Row],[Adsorbent Volume, Lit]]*0.65</f>
        <v>3497.2194721558544</v>
      </c>
      <c r="I51" s="8">
        <v>851</v>
      </c>
      <c r="J51" s="8">
        <v>2340</v>
      </c>
      <c r="K51" s="45">
        <v>3.8</v>
      </c>
      <c r="L51" s="45">
        <f>2*RIGHT(F51,1)*(PI()/4*Table3[[#This Row],[ID, mm]]^2*Table3[[#This Row],[TL-TL, mm]]+PI()/(6*Table3[[#This Row],[Head Factor]])*Table3[[#This Row],[ID, mm]]^3)/1000000</f>
        <v>5663.5133152321532</v>
      </c>
      <c r="M51" s="45" t="s">
        <v>259</v>
      </c>
    </row>
    <row r="52" spans="2:13" x14ac:dyDescent="0.25">
      <c r="E52" s="99"/>
      <c r="F52" s="10" t="s">
        <v>9</v>
      </c>
      <c r="G52" s="10">
        <f>0.95*Table3[[#This Row],[Towers Net Volume, Lit]]</f>
        <v>3613.7055499131066</v>
      </c>
      <c r="H52" s="10">
        <f>Table3[[#This Row],[Adsorbent Volume, Lit]]*0.65</f>
        <v>2348.9086074435195</v>
      </c>
      <c r="I52" s="8">
        <v>851</v>
      </c>
      <c r="J52" s="8">
        <v>1540</v>
      </c>
      <c r="K52" s="45">
        <v>4.3</v>
      </c>
      <c r="L52" s="45">
        <f>2*RIGHT(F52,1)*(PI()/4*Table3[[#This Row],[ID, mm]]^2*Table3[[#This Row],[TL-TL, mm]]+PI()/(6*Table3[[#This Row],[Head Factor]])*Table3[[#This Row],[ID, mm]]^3)/1000000</f>
        <v>3803.9005788559016</v>
      </c>
      <c r="M52" s="45" t="s">
        <v>257</v>
      </c>
    </row>
    <row r="53" spans="2:13" x14ac:dyDescent="0.25">
      <c r="B53" s="92"/>
      <c r="D53" s="7"/>
      <c r="E53" s="99"/>
      <c r="F53" s="9" t="s">
        <v>80</v>
      </c>
      <c r="G53" s="10">
        <f>0.95*Table3[[#This Row],[Towers Net Volume, Lit]]</f>
        <v>2690.1688247352727</v>
      </c>
      <c r="H53" s="10">
        <f>Table3[[#This Row],[Adsorbent Volume, Lit]]*0.65</f>
        <v>1748.6097360779272</v>
      </c>
      <c r="I53" s="8">
        <v>851</v>
      </c>
      <c r="J53" s="8">
        <v>2340</v>
      </c>
      <c r="K53" s="45">
        <v>3.8</v>
      </c>
      <c r="L53" s="45">
        <f>2*RIGHT(F53,1)*(PI()/4*Table3[[#This Row],[ID, mm]]^2*Table3[[#This Row],[TL-TL, mm]]+PI()/(6*Table3[[#This Row],[Head Factor]])*Table3[[#This Row],[ID, mm]]^3)/1000000</f>
        <v>2831.7566576160766</v>
      </c>
      <c r="M53" s="45" t="s">
        <v>258</v>
      </c>
    </row>
    <row r="54" spans="2:13" x14ac:dyDescent="0.25">
      <c r="B54" s="92"/>
      <c r="D54" s="7"/>
      <c r="E54" s="99"/>
      <c r="F54" s="10" t="s">
        <v>79</v>
      </c>
      <c r="G54" s="10">
        <f>0.95*Table3[[#This Row],[Towers Net Volume, Lit]]</f>
        <v>1806.8527749565533</v>
      </c>
      <c r="H54" s="10">
        <f>Table3[[#This Row],[Adsorbent Volume, Lit]]*0.65</f>
        <v>1174.4543037217597</v>
      </c>
      <c r="I54" s="8">
        <v>851</v>
      </c>
      <c r="J54" s="8">
        <v>1540</v>
      </c>
      <c r="K54" s="45">
        <v>4.3</v>
      </c>
      <c r="L54" s="45">
        <f>2*RIGHT(F54,1)*(PI()/4*Table3[[#This Row],[ID, mm]]^2*Table3[[#This Row],[TL-TL, mm]]+PI()/(6*Table3[[#This Row],[Head Factor]])*Table3[[#This Row],[ID, mm]]^3)/1000000</f>
        <v>1901.9502894279508</v>
      </c>
      <c r="M54" s="45" t="s">
        <v>256</v>
      </c>
    </row>
    <row r="55" spans="2:13" x14ac:dyDescent="0.25">
      <c r="B55" s="92"/>
      <c r="D55" s="7"/>
      <c r="E55" s="99"/>
      <c r="F55" s="9" t="s">
        <v>78</v>
      </c>
      <c r="G55" s="10">
        <f>0.95*Table3[[#This Row],[Towers Net Volume, Lit]]</f>
        <v>1311.5616727127815</v>
      </c>
      <c r="H55" s="10">
        <f>Table3[[#This Row],[Adsorbent Volume, Lit]]*0.65</f>
        <v>852.51508726330803</v>
      </c>
      <c r="I55" s="8">
        <v>728</v>
      </c>
      <c r="J55" s="8">
        <v>1540</v>
      </c>
      <c r="K55" s="45">
        <v>4.0999999999999996</v>
      </c>
      <c r="L55" s="45">
        <f>2*RIGHT(F55,1)*(PI()/4*Table3[[#This Row],[ID, mm]]^2*Table3[[#This Row],[TL-TL, mm]]+PI()/(6*Table3[[#This Row],[Head Factor]])*Table3[[#This Row],[ID, mm]]^3)/1000000</f>
        <v>1380.591234434507</v>
      </c>
      <c r="M55" s="45" t="s">
        <v>255</v>
      </c>
    </row>
    <row r="56" spans="2:13" x14ac:dyDescent="0.25">
      <c r="B56" s="92"/>
      <c r="D56" s="7"/>
      <c r="E56" s="99"/>
      <c r="F56" s="10" t="s">
        <v>77</v>
      </c>
      <c r="G56" s="10">
        <f>0.95*Table3[[#This Row],[Towers Net Volume, Lit]]</f>
        <v>870.28399689744458</v>
      </c>
      <c r="H56" s="10">
        <f>Table3[[#This Row],[Adsorbent Volume, Lit]]*0.65</f>
        <v>565.68459798333902</v>
      </c>
      <c r="I56" s="8">
        <v>600</v>
      </c>
      <c r="J56" s="8">
        <v>1540</v>
      </c>
      <c r="K56" s="45">
        <v>5</v>
      </c>
      <c r="L56" s="45">
        <f>2*RIGHT(F56,1)*(PI()/4*Table3[[#This Row],[ID, mm]]^2*Table3[[#This Row],[TL-TL, mm]]+PI()/(6*Table3[[#This Row],[Head Factor]])*Table3[[#This Row],[ID, mm]]^3)/1000000</f>
        <v>916.08841778678379</v>
      </c>
      <c r="M56" s="45" t="s">
        <v>254</v>
      </c>
    </row>
    <row r="57" spans="2:13" x14ac:dyDescent="0.25">
      <c r="D57" s="7"/>
      <c r="E57" s="99"/>
      <c r="F57" s="9" t="s">
        <v>76</v>
      </c>
      <c r="G57" s="10">
        <f>0.95*Table3[[#This Row],[Towers Net Volume, Lit]]</f>
        <v>769.01593991647303</v>
      </c>
      <c r="H57" s="10">
        <f>Table3[[#This Row],[Adsorbent Volume, Lit]]*0.65</f>
        <v>499.8603609457075</v>
      </c>
      <c r="I57" s="8">
        <v>547</v>
      </c>
      <c r="J57" s="8">
        <v>1540</v>
      </c>
      <c r="K57" s="45">
        <v>2</v>
      </c>
      <c r="L57" s="45">
        <f>2*RIGHT(F57,1)*(PI()/4*Table3[[#This Row],[ID, mm]]^2*Table3[[#This Row],[TL-TL, mm]]+PI()/(6*Table3[[#This Row],[Head Factor]])*Table3[[#This Row],[ID, mm]]^3)/1000000</f>
        <v>809.49046306997161</v>
      </c>
      <c r="M57" s="45" t="s">
        <v>253</v>
      </c>
    </row>
    <row r="58" spans="2:13" x14ac:dyDescent="0.25">
      <c r="E58" s="99"/>
      <c r="F58" s="10" t="s">
        <v>75</v>
      </c>
      <c r="G58" s="10">
        <f>0.95*Table3[[#This Row],[Towers Net Volume, Lit]]</f>
        <v>463.22904297320838</v>
      </c>
      <c r="H58" s="10">
        <f>Table3[[#This Row],[Adsorbent Volume, Lit]]*0.65</f>
        <v>301.09887793258548</v>
      </c>
      <c r="I58" s="8">
        <v>443.33199999999999</v>
      </c>
      <c r="J58" s="8">
        <v>1540</v>
      </c>
      <c r="K58" s="45">
        <v>7.5</v>
      </c>
      <c r="L58" s="45">
        <f>2*RIGHT(F58,1)*(PI()/4*Table3[[#This Row],[ID, mm]]^2*Table3[[#This Row],[TL-TL, mm]]+PI()/(6*Table3[[#This Row],[Head Factor]])*Table3[[#This Row],[ID, mm]]^3)/1000000</f>
        <v>487.60951891916676</v>
      </c>
      <c r="M58" s="45" t="s">
        <v>252</v>
      </c>
    </row>
    <row r="59" spans="2:13" x14ac:dyDescent="0.25">
      <c r="E59" s="99"/>
      <c r="F59" s="9" t="s">
        <v>74</v>
      </c>
      <c r="G59" s="10">
        <f>0.95*Table3[[#This Row],[Towers Net Volume, Lit]]</f>
        <v>279.3908522167302</v>
      </c>
      <c r="H59" s="10">
        <f>Table3[[#This Row],[Adsorbent Volume, Lit]]*0.65</f>
        <v>181.60405394087462</v>
      </c>
      <c r="I59" s="8">
        <v>341.73</v>
      </c>
      <c r="J59" s="8">
        <v>1600</v>
      </c>
      <c r="K59" s="45">
        <v>70</v>
      </c>
      <c r="L59" s="45">
        <f>2*RIGHT(F59,1)*(PI()/4*Table3[[#This Row],[ID, mm]]^2*Table3[[#This Row],[TL-TL, mm]]+PI()/(6*Table3[[#This Row],[Head Factor]])*Table3[[#This Row],[ID, mm]]^3)/1000000</f>
        <v>294.09563391234758</v>
      </c>
      <c r="M59" s="45" t="s">
        <v>251</v>
      </c>
    </row>
    <row r="60" spans="2:13" x14ac:dyDescent="0.25">
      <c r="E60" s="99"/>
      <c r="F60" s="10" t="s">
        <v>73</v>
      </c>
      <c r="G60" s="10">
        <f>0.95*Table3[[#This Row],[Towers Net Volume, Lit]]</f>
        <v>190.07219073431199</v>
      </c>
      <c r="H60" s="10">
        <f>Table3[[#This Row],[Adsorbent Volume, Lit]]*0.65</f>
        <v>123.5469239773028</v>
      </c>
      <c r="I60" s="8">
        <v>312.73700000000002</v>
      </c>
      <c r="J60" s="8">
        <v>1300</v>
      </c>
      <c r="K60" s="45">
        <v>90</v>
      </c>
      <c r="L60" s="45">
        <f>2*RIGHT(F60,1)*(PI()/4*Table3[[#This Row],[ID, mm]]^2*Table3[[#This Row],[TL-TL, mm]]+PI()/(6*Table3[[#This Row],[Head Factor]])*Table3[[#This Row],[ID, mm]]^3)/1000000</f>
        <v>200.07599024664421</v>
      </c>
      <c r="M60" s="45" t="s">
        <v>250</v>
      </c>
    </row>
    <row r="61" spans="2:13" x14ac:dyDescent="0.25">
      <c r="E61" s="99"/>
      <c r="F61" s="9" t="s">
        <v>72</v>
      </c>
      <c r="G61" s="10">
        <f>0.95*Table3[[#This Row],[Towers Net Volume, Lit]]</f>
        <v>138.24094039637836</v>
      </c>
      <c r="H61" s="10">
        <f>Table3[[#This Row],[Adsorbent Volume, Lit]]*0.65</f>
        <v>89.856611257645937</v>
      </c>
      <c r="I61" s="8">
        <v>261.93799999999999</v>
      </c>
      <c r="J61" s="8">
        <v>1350</v>
      </c>
      <c r="K61" s="45">
        <v>900</v>
      </c>
      <c r="L61" s="45">
        <f>2*RIGHT(F61,1)*(PI()/4*Table3[[#This Row],[ID, mm]]^2*Table3[[#This Row],[TL-TL, mm]]+PI()/(6*Table3[[#This Row],[Head Factor]])*Table3[[#This Row],[ID, mm]]^3)/1000000</f>
        <v>145.51677936460882</v>
      </c>
      <c r="M61" s="45" t="s">
        <v>249</v>
      </c>
    </row>
    <row r="62" spans="2:13" x14ac:dyDescent="0.25">
      <c r="E62" s="99"/>
      <c r="F62" s="10" t="s">
        <v>71</v>
      </c>
      <c r="G62" s="10">
        <f>0.95*Table3[[#This Row],[Towers Net Volume, Lit]]</f>
        <v>87.135429336781812</v>
      </c>
      <c r="H62" s="10">
        <f>Table3[[#This Row],[Adsorbent Volume, Lit]]*0.65</f>
        <v>56.638029068908182</v>
      </c>
      <c r="I62" s="8">
        <v>207.96199999999999</v>
      </c>
      <c r="J62" s="8">
        <v>1350</v>
      </c>
      <c r="K62" s="45">
        <v>900</v>
      </c>
      <c r="L62" s="45">
        <f>2*RIGHT(F62,1)*(PI()/4*Table3[[#This Row],[ID, mm]]^2*Table3[[#This Row],[TL-TL, mm]]+PI()/(6*Table3[[#This Row],[Head Factor]])*Table3[[#This Row],[ID, mm]]^3)/1000000</f>
        <v>91.721504565033484</v>
      </c>
      <c r="M62" s="45" t="s">
        <v>248</v>
      </c>
    </row>
    <row r="63" spans="2:13" x14ac:dyDescent="0.25">
      <c r="E63" s="99"/>
      <c r="F63" s="9" t="s">
        <v>70</v>
      </c>
      <c r="G63" s="10">
        <f>0.95*Table3[[#This Row],[Towers Net Volume, Lit]]</f>
        <v>41.591401341016542</v>
      </c>
      <c r="H63" s="10">
        <f>Table3[[#This Row],[Adsorbent Volume, Lit]]*0.65</f>
        <v>27.034410871660754</v>
      </c>
      <c r="I63" s="8">
        <v>155</v>
      </c>
      <c r="J63" s="8">
        <v>1160</v>
      </c>
      <c r="K63" s="45">
        <v>1000</v>
      </c>
      <c r="L63" s="45">
        <f>2*RIGHT(F63,1)*(PI()/4*Table3[[#This Row],[ID, mm]]^2*Table3[[#This Row],[TL-TL, mm]]+PI()/(6*Table3[[#This Row],[Head Factor]])*Table3[[#This Row],[ID, mm]]^3)/1000000</f>
        <v>43.780422464227939</v>
      </c>
      <c r="M63" s="45" t="s">
        <v>248</v>
      </c>
    </row>
    <row r="64" spans="2:13" x14ac:dyDescent="0.25">
      <c r="E64" s="99"/>
      <c r="F64" s="10" t="s">
        <v>69</v>
      </c>
      <c r="G64" s="10">
        <f>0.95*Table3[[#This Row],[Towers Net Volume, Lit]]</f>
        <v>21.372332452075117</v>
      </c>
      <c r="H64" s="10">
        <f>Table3[[#This Row],[Adsorbent Volume, Lit]]*0.65</f>
        <v>13.892016093848827</v>
      </c>
      <c r="I64" s="8">
        <v>103</v>
      </c>
      <c r="J64" s="8">
        <v>1350</v>
      </c>
      <c r="K64" s="45">
        <v>100000</v>
      </c>
      <c r="L64" s="45">
        <f>2*RIGHT(F64,1)*(PI()/4*Table3[[#This Row],[ID, mm]]^2*Table3[[#This Row],[TL-TL, mm]]+PI()/(6*Table3[[#This Row],[Head Factor]])*Table3[[#This Row],[ID, mm]]^3)/1000000</f>
        <v>22.497192054815915</v>
      </c>
      <c r="M64" s="45" t="s">
        <v>248</v>
      </c>
    </row>
    <row r="65" spans="5:13" x14ac:dyDescent="0.25">
      <c r="E65" s="11"/>
    </row>
    <row r="66" spans="5:13" x14ac:dyDescent="0.25">
      <c r="E66" s="99" t="s">
        <v>19</v>
      </c>
      <c r="F66" s="6" t="s">
        <v>8</v>
      </c>
      <c r="G66" s="6" t="s">
        <v>11</v>
      </c>
      <c r="H66" s="6" t="s">
        <v>6</v>
      </c>
      <c r="I66" s="6" t="s">
        <v>30</v>
      </c>
      <c r="J66" s="6" t="s">
        <v>95</v>
      </c>
      <c r="K66" s="6" t="s">
        <v>81</v>
      </c>
      <c r="L66" s="6" t="s">
        <v>96</v>
      </c>
      <c r="M66" s="6" t="s">
        <v>260</v>
      </c>
    </row>
    <row r="67" spans="5:13" x14ac:dyDescent="0.25">
      <c r="E67" s="99"/>
      <c r="F67" s="12" t="s">
        <v>242</v>
      </c>
      <c r="G67" s="10">
        <f>0.95*Table6[[#This Row],[Towers Net Volume, Lit]]</f>
        <v>13766.066308948775</v>
      </c>
      <c r="H67" s="10">
        <f>Table6[[#This Row],[Adsorbent Volume, Lit]]*0.65</f>
        <v>8947.9431008167048</v>
      </c>
      <c r="I67" s="8">
        <v>1500</v>
      </c>
      <c r="J67" s="8">
        <v>3600</v>
      </c>
      <c r="K67" s="45">
        <v>2</v>
      </c>
      <c r="L67" s="45">
        <f>2*RIGHT(F67,1)*(PI()/4*Table6[[#This Row],[ID, mm]]^2*Table6[[#This Row],[TL-TL, mm]]+PI()/(6*Table6[[#This Row],[Head Factor]])*Table6[[#This Row],[ID, mm]]^3)/1000000</f>
        <v>14490.596114682921</v>
      </c>
      <c r="M67" s="45"/>
    </row>
    <row r="68" spans="5:13" x14ac:dyDescent="0.25">
      <c r="E68" s="99"/>
      <c r="F68" s="12" t="s">
        <v>245</v>
      </c>
      <c r="G68" s="74">
        <f>0.95*Table6[[#This Row],[Towers Net Volume, Lit]]</f>
        <v>11537.924391953809</v>
      </c>
      <c r="H68" s="74">
        <f>Table6[[#This Row],[Adsorbent Volume, Lit]]*0.65</f>
        <v>7499.6508547699759</v>
      </c>
      <c r="I68" s="8">
        <v>1380</v>
      </c>
      <c r="J68" s="8">
        <v>3600</v>
      </c>
      <c r="K68" s="45">
        <v>2</v>
      </c>
      <c r="L68" s="45">
        <f>2*RIGHT(F68,1)*(PI()/4*Table6[[#This Row],[ID, mm]]^2*Table6[[#This Row],[TL-TL, mm]]+PI()/(6*Table6[[#This Row],[Head Factor]])*Table6[[#This Row],[ID, mm]]^3)/1000000</f>
        <v>12145.183570477695</v>
      </c>
      <c r="M68" s="45"/>
    </row>
    <row r="69" spans="5:13" x14ac:dyDescent="0.25">
      <c r="E69" s="99"/>
      <c r="F69" s="12" t="s">
        <v>241</v>
      </c>
      <c r="G69" s="10">
        <f>0.95*Table6[[#This Row],[Towers Net Volume, Lit]]</f>
        <v>4979.9515010289824</v>
      </c>
      <c r="H69" s="10">
        <f>Table6[[#This Row],[Adsorbent Volume, Lit]]*0.65</f>
        <v>3236.9684756688389</v>
      </c>
      <c r="I69" s="8">
        <v>847</v>
      </c>
      <c r="J69" s="8">
        <v>2100</v>
      </c>
      <c r="K69" s="45">
        <v>2.5</v>
      </c>
      <c r="L69" s="45">
        <f>2*RIGHT(F69,1)*(PI()/4*Table6[[#This Row],[ID, mm]]^2*Table6[[#This Row],[TL-TL, mm]]+PI()/(6*Table6[[#This Row],[Head Factor]])*Table6[[#This Row],[ID, mm]]^3)/1000000</f>
        <v>5242.0542116094557</v>
      </c>
      <c r="M69" s="45" t="s">
        <v>259</v>
      </c>
    </row>
    <row r="70" spans="5:13" x14ac:dyDescent="0.25">
      <c r="E70" s="99"/>
      <c r="F70" s="4" t="s">
        <v>240</v>
      </c>
      <c r="G70" s="10">
        <f>0.95*Table6[[#This Row],[Towers Net Volume, Lit]]</f>
        <v>3909.3932501198628</v>
      </c>
      <c r="H70" s="10">
        <f>Table6[[#This Row],[Adsorbent Volume, Lit]]*0.65</f>
        <v>2541.105612577911</v>
      </c>
      <c r="I70" s="8">
        <v>847</v>
      </c>
      <c r="J70" s="8">
        <v>1600</v>
      </c>
      <c r="K70" s="45">
        <v>2.5</v>
      </c>
      <c r="L70" s="45">
        <f>2*RIGHT(F70,1)*(PI()/4*Table6[[#This Row],[ID, mm]]^2*Table6[[#This Row],[TL-TL, mm]]+PI()/(6*Table6[[#This Row],[Head Factor]])*Table6[[#This Row],[ID, mm]]^3)/1000000</f>
        <v>4115.1507895998557</v>
      </c>
      <c r="M70" s="45" t="s">
        <v>257</v>
      </c>
    </row>
    <row r="71" spans="5:13" x14ac:dyDescent="0.25">
      <c r="E71" s="99"/>
      <c r="F71" s="12" t="s">
        <v>239</v>
      </c>
      <c r="G71" s="10">
        <f>0.95*Table6[[#This Row],[Towers Net Volume, Lit]]</f>
        <v>2489.9757505144912</v>
      </c>
      <c r="H71" s="10">
        <f>Table6[[#This Row],[Adsorbent Volume, Lit]]*0.65</f>
        <v>1618.4842378344194</v>
      </c>
      <c r="I71" s="8">
        <v>847</v>
      </c>
      <c r="J71" s="8">
        <v>2100</v>
      </c>
      <c r="K71" s="45">
        <v>2.5</v>
      </c>
      <c r="L71" s="45">
        <f>2*RIGHT(F71,1)*(PI()/4*Table6[[#This Row],[ID, mm]]^2*Table6[[#This Row],[TL-TL, mm]]+PI()/(6*Table6[[#This Row],[Head Factor]])*Table6[[#This Row],[ID, mm]]^3)/1000000</f>
        <v>2621.0271058047279</v>
      </c>
      <c r="M71" s="45" t="s">
        <v>258</v>
      </c>
    </row>
    <row r="72" spans="5:13" x14ac:dyDescent="0.25">
      <c r="E72" s="99"/>
      <c r="F72" s="4" t="s">
        <v>238</v>
      </c>
      <c r="G72" s="10">
        <f>0.95*Table6[[#This Row],[Towers Net Volume, Lit]]</f>
        <v>1954.6966250599314</v>
      </c>
      <c r="H72" s="10">
        <f>Table6[[#This Row],[Adsorbent Volume, Lit]]*0.65</f>
        <v>1270.5528062889555</v>
      </c>
      <c r="I72" s="8">
        <v>847</v>
      </c>
      <c r="J72" s="8">
        <v>1600</v>
      </c>
      <c r="K72" s="45">
        <v>2.5</v>
      </c>
      <c r="L72" s="45">
        <f>2*RIGHT(F72,1)*(PI()/4*Table6[[#This Row],[ID, mm]]^2*Table6[[#This Row],[TL-TL, mm]]+PI()/(6*Table6[[#This Row],[Head Factor]])*Table6[[#This Row],[ID, mm]]^3)/1000000</f>
        <v>2057.5753947999278</v>
      </c>
      <c r="M72" s="45" t="s">
        <v>256</v>
      </c>
    </row>
    <row r="73" spans="5:13" x14ac:dyDescent="0.25">
      <c r="E73" s="99"/>
      <c r="F73" s="12" t="s">
        <v>237</v>
      </c>
      <c r="G73" s="10">
        <f>0.95*Table6[[#This Row],[Towers Net Volume, Lit]]</f>
        <v>1460.346603408987</v>
      </c>
      <c r="H73" s="10">
        <f>Table6[[#This Row],[Adsorbent Volume, Lit]]*0.65</f>
        <v>949.22529221584159</v>
      </c>
      <c r="I73" s="8">
        <v>738</v>
      </c>
      <c r="J73" s="8">
        <v>1600</v>
      </c>
      <c r="K73" s="45">
        <v>2.5</v>
      </c>
      <c r="L73" s="45">
        <f>2*RIGHT(F73,1)*(PI()/4*Table6[[#This Row],[ID, mm]]^2*Table6[[#This Row],[TL-TL, mm]]+PI()/(6*Table6[[#This Row],[Head Factor]])*Table6[[#This Row],[ID, mm]]^3)/1000000</f>
        <v>1537.2069509568285</v>
      </c>
      <c r="M73" s="45" t="s">
        <v>255</v>
      </c>
    </row>
    <row r="74" spans="5:13" x14ac:dyDescent="0.25">
      <c r="E74" s="99"/>
      <c r="F74" s="4" t="s">
        <v>236</v>
      </c>
      <c r="G74" s="10">
        <f>0.95*Table6[[#This Row],[Towers Net Volume, Lit]]</f>
        <v>906.4011695615759</v>
      </c>
      <c r="H74" s="10">
        <f>Table6[[#This Row],[Adsorbent Volume, Lit]]*0.65</f>
        <v>589.16076021502431</v>
      </c>
      <c r="I74" s="8">
        <v>588</v>
      </c>
      <c r="J74" s="8">
        <v>1600</v>
      </c>
      <c r="K74" s="45">
        <v>2.5</v>
      </c>
      <c r="L74" s="45">
        <f>2*RIGHT(F74,1)*(PI()/4*Table6[[#This Row],[ID, mm]]^2*Table6[[#This Row],[TL-TL, mm]]+PI()/(6*Table6[[#This Row],[Head Factor]])*Table6[[#This Row],[ID, mm]]^3)/1000000</f>
        <v>954.10649427534315</v>
      </c>
      <c r="M74" s="45" t="s">
        <v>254</v>
      </c>
    </row>
    <row r="75" spans="5:13" x14ac:dyDescent="0.25">
      <c r="E75" s="99"/>
      <c r="F75" s="12" t="s">
        <v>228</v>
      </c>
      <c r="G75" s="10">
        <f>0.95*Table6[[#This Row],[Towers Net Volume, Lit]]</f>
        <v>612.27914687834846</v>
      </c>
      <c r="H75" s="10">
        <f>Table6[[#This Row],[Adsorbent Volume, Lit]]*0.65</f>
        <v>397.98144547092653</v>
      </c>
      <c r="I75" s="8">
        <v>490</v>
      </c>
      <c r="J75" s="8">
        <v>1600</v>
      </c>
      <c r="K75" s="45">
        <v>3</v>
      </c>
      <c r="L75" s="45">
        <f>2*RIGHT(F75,1)*(PI()/4*Table6[[#This Row],[ID, mm]]^2*Table6[[#This Row],[TL-TL, mm]]+PI()/(6*Table6[[#This Row],[Head Factor]])*Table6[[#This Row],[ID, mm]]^3)/1000000</f>
        <v>644.50436513510363</v>
      </c>
      <c r="M75" s="45" t="s">
        <v>253</v>
      </c>
    </row>
    <row r="76" spans="5:13" x14ac:dyDescent="0.25">
      <c r="E76" s="99"/>
      <c r="F76" s="4" t="s">
        <v>235</v>
      </c>
      <c r="G76" s="10">
        <f>0.95*Table6[[#This Row],[Towers Net Volume, Lit]]</f>
        <v>395.00836844068721</v>
      </c>
      <c r="H76" s="10">
        <f>Table6[[#This Row],[Adsorbent Volume, Lit]]*0.65</f>
        <v>256.75543948644668</v>
      </c>
      <c r="I76" s="8">
        <v>396</v>
      </c>
      <c r="J76" s="8">
        <v>1600</v>
      </c>
      <c r="K76" s="45">
        <v>3</v>
      </c>
      <c r="L76" s="45">
        <f>2*RIGHT(F76,1)*(PI()/4*Table6[[#This Row],[ID, mm]]^2*Table6[[#This Row],[TL-TL, mm]]+PI()/(6*Table6[[#This Row],[Head Factor]])*Table6[[#This Row],[ID, mm]]^3)/1000000</f>
        <v>415.79828256914442</v>
      </c>
      <c r="M76" s="45" t="s">
        <v>252</v>
      </c>
    </row>
    <row r="77" spans="5:13" x14ac:dyDescent="0.25">
      <c r="E77" s="99"/>
      <c r="F77" s="12" t="s">
        <v>234</v>
      </c>
      <c r="G77" s="10">
        <f>0.95*Table6[[#This Row],[Towers Net Volume, Lit]]</f>
        <v>248.88109290395565</v>
      </c>
      <c r="H77" s="10">
        <f>Table6[[#This Row],[Adsorbent Volume, Lit]]*0.65</f>
        <v>161.77271038757118</v>
      </c>
      <c r="I77" s="8">
        <v>316</v>
      </c>
      <c r="J77" s="8">
        <v>1600</v>
      </c>
      <c r="K77" s="45">
        <v>3</v>
      </c>
      <c r="L77" s="45">
        <f>2*RIGHT(F77,1)*(PI()/4*Table6[[#This Row],[ID, mm]]^2*Table6[[#This Row],[TL-TL, mm]]+PI()/(6*Table6[[#This Row],[Head Factor]])*Table6[[#This Row],[ID, mm]]^3)/1000000</f>
        <v>261.98009779363753</v>
      </c>
      <c r="M77" s="45" t="s">
        <v>251</v>
      </c>
    </row>
    <row r="78" spans="5:13" x14ac:dyDescent="0.25">
      <c r="E78" s="99"/>
      <c r="F78" s="4" t="s">
        <v>229</v>
      </c>
      <c r="G78" s="10">
        <f>0.95*Table6[[#This Row],[Towers Net Volume, Lit]]</f>
        <v>174.37570984995082</v>
      </c>
      <c r="H78" s="10">
        <f>Table6[[#This Row],[Adsorbent Volume, Lit]]*0.65</f>
        <v>113.34421140246803</v>
      </c>
      <c r="I78" s="8">
        <v>316</v>
      </c>
      <c r="J78" s="8">
        <v>1100</v>
      </c>
      <c r="K78" s="45">
        <v>3</v>
      </c>
      <c r="L78" s="45">
        <f>2*RIGHT(F78,1)*(PI()/4*Table6[[#This Row],[ID, mm]]^2*Table6[[#This Row],[TL-TL, mm]]+PI()/(6*Table6[[#This Row],[Head Factor]])*Table6[[#This Row],[ID, mm]]^3)/1000000</f>
        <v>183.55337878942191</v>
      </c>
      <c r="M78" s="45" t="s">
        <v>250</v>
      </c>
    </row>
    <row r="79" spans="5:13" x14ac:dyDescent="0.25">
      <c r="E79" s="99"/>
      <c r="F79" s="12" t="s">
        <v>232</v>
      </c>
      <c r="G79" s="10">
        <f>0.95*Table6[[#This Row],[Towers Net Volume, Lit]]</f>
        <v>105.66897959068005</v>
      </c>
      <c r="H79" s="10">
        <f>Table6[[#This Row],[Adsorbent Volume, Lit]]*0.65</f>
        <v>68.684836733942035</v>
      </c>
      <c r="I79" s="8">
        <v>206</v>
      </c>
      <c r="J79" s="8">
        <v>1600</v>
      </c>
      <c r="K79" s="45">
        <v>2</v>
      </c>
      <c r="L79" s="45">
        <f>2*RIGHT(F79,1)*(PI()/4*Table6[[#This Row],[ID, mm]]^2*Table6[[#This Row],[TL-TL, mm]]+PI()/(6*Table6[[#This Row],[Head Factor]])*Table6[[#This Row],[ID, mm]]^3)/1000000</f>
        <v>111.2305048322948</v>
      </c>
      <c r="M79" s="45" t="s">
        <v>249</v>
      </c>
    </row>
    <row r="80" spans="5:13" x14ac:dyDescent="0.25">
      <c r="E80" s="99"/>
      <c r="F80" s="4" t="s">
        <v>230</v>
      </c>
      <c r="G80" s="10">
        <f>0.95*Table6[[#This Row],[Towers Net Volume, Lit]]</f>
        <v>74.006280951842641</v>
      </c>
      <c r="H80" s="10">
        <f>Table6[[#This Row],[Adsorbent Volume, Lit]]*0.65</f>
        <v>48.104082618697717</v>
      </c>
      <c r="I80" s="8">
        <v>206</v>
      </c>
      <c r="J80" s="8">
        <v>1100</v>
      </c>
      <c r="K80" s="45">
        <v>2</v>
      </c>
      <c r="L80" s="45">
        <f>2*RIGHT(F80,1)*(PI()/4*Table6[[#This Row],[ID, mm]]^2*Table6[[#This Row],[TL-TL, mm]]+PI()/(6*Table6[[#This Row],[Head Factor]])*Table6[[#This Row],[ID, mm]]^3)/1000000</f>
        <v>77.901348370360679</v>
      </c>
      <c r="M80" s="45" t="s">
        <v>248</v>
      </c>
    </row>
    <row r="81" spans="5:13" x14ac:dyDescent="0.25">
      <c r="E81" s="99"/>
      <c r="F81" s="12" t="s">
        <v>231</v>
      </c>
      <c r="G81" s="10">
        <f>0.95*Table6[[#This Row],[Towers Net Volume, Lit]]</f>
        <v>40.746095852783476</v>
      </c>
      <c r="H81" s="10">
        <f>Table6[[#This Row],[Adsorbent Volume, Lit]]*0.65</f>
        <v>26.48496230430926</v>
      </c>
      <c r="I81" s="8">
        <v>154</v>
      </c>
      <c r="J81" s="8">
        <v>1100</v>
      </c>
      <c r="K81" s="45">
        <v>2</v>
      </c>
      <c r="L81" s="45">
        <f>2*RIGHT(F81,1)*(PI()/4*Table6[[#This Row],[ID, mm]]^2*Table6[[#This Row],[TL-TL, mm]]+PI()/(6*Table6[[#This Row],[Head Factor]])*Table6[[#This Row],[ID, mm]]^3)/1000000</f>
        <v>42.890627213456291</v>
      </c>
      <c r="M81" s="45" t="s">
        <v>248</v>
      </c>
    </row>
    <row r="82" spans="5:13" x14ac:dyDescent="0.25">
      <c r="E82" s="99"/>
      <c r="F82" s="10" t="s">
        <v>233</v>
      </c>
      <c r="G82" s="10">
        <f>0.95*Table6[[#This Row],[Towers Net Volume, Lit]]</f>
        <v>13.689397005226375</v>
      </c>
      <c r="H82" s="10">
        <f>Table6[[#This Row],[Adsorbent Volume, Lit]]*0.65</f>
        <v>8.8981080533971451</v>
      </c>
      <c r="I82" s="8">
        <v>90.1</v>
      </c>
      <c r="J82" s="8">
        <v>1100</v>
      </c>
      <c r="K82" s="45">
        <v>2</v>
      </c>
      <c r="L82" s="45">
        <f>2*RIGHT(F82,1)*(PI()/4*Table6[[#This Row],[ID, mm]]^2*Table6[[#This Row],[TL-TL, mm]]+PI()/(6*Table6[[#This Row],[Head Factor]])*Table6[[#This Row],[ID, mm]]^3)/1000000</f>
        <v>14.409891584448816</v>
      </c>
      <c r="M82" s="45" t="s">
        <v>248</v>
      </c>
    </row>
    <row r="85" spans="5:13" x14ac:dyDescent="0.25">
      <c r="E85" s="99" t="s">
        <v>19</v>
      </c>
      <c r="F85" t="s">
        <v>26</v>
      </c>
      <c r="G85" t="s">
        <v>31</v>
      </c>
      <c r="I85">
        <v>95</v>
      </c>
    </row>
    <row r="86" spans="5:13" x14ac:dyDescent="0.25">
      <c r="E86" s="99"/>
      <c r="F86" t="s">
        <v>85</v>
      </c>
      <c r="G86">
        <v>20000</v>
      </c>
      <c r="I86">
        <v>97</v>
      </c>
    </row>
    <row r="87" spans="5:13" x14ac:dyDescent="0.25">
      <c r="E87" s="99"/>
      <c r="F87" t="s">
        <v>84</v>
      </c>
      <c r="G87">
        <v>15000</v>
      </c>
      <c r="I87">
        <v>98</v>
      </c>
    </row>
    <row r="88" spans="5:13" x14ac:dyDescent="0.25">
      <c r="E88" s="99"/>
      <c r="F88" t="s">
        <v>83</v>
      </c>
      <c r="G88">
        <v>12000</v>
      </c>
      <c r="I88">
        <v>99</v>
      </c>
    </row>
    <row r="89" spans="5:13" x14ac:dyDescent="0.25">
      <c r="E89" s="99"/>
      <c r="F89" t="s">
        <v>45</v>
      </c>
      <c r="G89">
        <v>9900</v>
      </c>
      <c r="I89">
        <v>99.5</v>
      </c>
    </row>
    <row r="90" spans="5:13" x14ac:dyDescent="0.25">
      <c r="E90" s="99"/>
      <c r="F90" t="s">
        <v>40</v>
      </c>
      <c r="G90">
        <v>8000</v>
      </c>
      <c r="I90">
        <v>99.6</v>
      </c>
    </row>
    <row r="91" spans="5:13" x14ac:dyDescent="0.25">
      <c r="E91" s="99"/>
      <c r="F91" t="s">
        <v>44</v>
      </c>
      <c r="G91">
        <v>5850</v>
      </c>
      <c r="I91">
        <v>99.7</v>
      </c>
    </row>
    <row r="92" spans="5:13" x14ac:dyDescent="0.25">
      <c r="E92" s="99"/>
      <c r="F92" t="s">
        <v>39</v>
      </c>
      <c r="G92">
        <v>5000</v>
      </c>
      <c r="I92">
        <v>99.8</v>
      </c>
    </row>
    <row r="93" spans="5:13" x14ac:dyDescent="0.25">
      <c r="E93" s="99"/>
      <c r="F93" t="s">
        <v>43</v>
      </c>
      <c r="G93">
        <v>3940</v>
      </c>
      <c r="I93">
        <v>99.9</v>
      </c>
    </row>
    <row r="94" spans="5:13" x14ac:dyDescent="0.25">
      <c r="E94" s="99"/>
      <c r="F94" t="s">
        <v>42</v>
      </c>
      <c r="G94">
        <v>3400</v>
      </c>
      <c r="I94">
        <v>99.95</v>
      </c>
    </row>
    <row r="95" spans="5:13" x14ac:dyDescent="0.25">
      <c r="E95" s="99"/>
      <c r="F95" t="s">
        <v>41</v>
      </c>
      <c r="G95">
        <v>2900</v>
      </c>
      <c r="I95">
        <v>99.96</v>
      </c>
    </row>
    <row r="96" spans="5:13" x14ac:dyDescent="0.25">
      <c r="E96" s="99"/>
      <c r="F96" t="s">
        <v>38</v>
      </c>
      <c r="G96">
        <v>2500</v>
      </c>
      <c r="I96">
        <v>99.97</v>
      </c>
    </row>
    <row r="97" spans="5:9" x14ac:dyDescent="0.25">
      <c r="E97" s="99"/>
      <c r="F97" t="s">
        <v>37</v>
      </c>
      <c r="G97">
        <v>1950</v>
      </c>
      <c r="I97">
        <v>99.98</v>
      </c>
    </row>
    <row r="98" spans="5:9" x14ac:dyDescent="0.25">
      <c r="E98" s="99"/>
      <c r="F98" t="s">
        <v>36</v>
      </c>
      <c r="G98">
        <v>1430</v>
      </c>
      <c r="I98">
        <v>99.99</v>
      </c>
    </row>
    <row r="99" spans="5:9" x14ac:dyDescent="0.25">
      <c r="E99" s="99"/>
      <c r="F99" t="s">
        <v>35</v>
      </c>
      <c r="G99">
        <v>950</v>
      </c>
      <c r="I99">
        <v>99.995000000000005</v>
      </c>
    </row>
    <row r="100" spans="5:9" x14ac:dyDescent="0.25">
      <c r="E100" s="99"/>
      <c r="F100" t="s">
        <v>34</v>
      </c>
      <c r="G100">
        <v>500</v>
      </c>
      <c r="I100">
        <v>99.995999999999995</v>
      </c>
    </row>
    <row r="101" spans="5:9" x14ac:dyDescent="0.25">
      <c r="E101" s="99"/>
      <c r="F101" t="s">
        <v>33</v>
      </c>
      <c r="G101">
        <v>200</v>
      </c>
      <c r="I101">
        <v>99.997</v>
      </c>
    </row>
    <row r="102" spans="5:9" x14ac:dyDescent="0.25">
      <c r="E102" s="99"/>
      <c r="F102" t="s">
        <v>32</v>
      </c>
      <c r="G102">
        <v>100</v>
      </c>
      <c r="I102">
        <v>99.998000000000005</v>
      </c>
    </row>
    <row r="103" spans="5:9" x14ac:dyDescent="0.25">
      <c r="I103">
        <v>99.998999999999995</v>
      </c>
    </row>
    <row r="104" spans="5:9" x14ac:dyDescent="0.25">
      <c r="I104">
        <v>99.999499999999998</v>
      </c>
    </row>
    <row r="105" spans="5:9" x14ac:dyDescent="0.25">
      <c r="I105">
        <v>99.999600000000001</v>
      </c>
    </row>
    <row r="106" spans="5:9" x14ac:dyDescent="0.25">
      <c r="I106">
        <v>99.999700000000004</v>
      </c>
    </row>
    <row r="107" spans="5:9" x14ac:dyDescent="0.25">
      <c r="I107">
        <v>99.999799999999993</v>
      </c>
    </row>
    <row r="108" spans="5:9" x14ac:dyDescent="0.25">
      <c r="I108">
        <v>99.999899999999997</v>
      </c>
    </row>
  </sheetData>
  <mergeCells count="18">
    <mergeCell ref="E66:E82"/>
    <mergeCell ref="E85:E102"/>
    <mergeCell ref="A40:A41"/>
    <mergeCell ref="E1:L1"/>
    <mergeCell ref="A38:A39"/>
    <mergeCell ref="B55:B56"/>
    <mergeCell ref="B13:B14"/>
    <mergeCell ref="B26:B27"/>
    <mergeCell ref="B53:B54"/>
    <mergeCell ref="E10:H10"/>
    <mergeCell ref="D11:F11"/>
    <mergeCell ref="B28:B29"/>
    <mergeCell ref="E9:I9"/>
    <mergeCell ref="E4:G4"/>
    <mergeCell ref="A7:A11"/>
    <mergeCell ref="A13:A37"/>
    <mergeCell ref="A2:A6"/>
    <mergeCell ref="E50:E64"/>
  </mergeCells>
  <conditionalFormatting sqref="D29">
    <cfRule type="expression" dxfId="12" priority="28">
      <formula>MATCH(D29,INDIRECT(CONCATENATE(D5,".N2.Generator.Models")),0)&gt;MATCH(D28,INDIRECT(CONCATENATE(D5,".N2.Generator.Models")),0)</formula>
    </cfRule>
  </conditionalFormatting>
  <conditionalFormatting sqref="D10">
    <cfRule type="expression" dxfId="11" priority="7">
      <formula>AND($D$8&gt;99.99,$D$10="SHE")</formula>
    </cfRule>
  </conditionalFormatting>
  <conditionalFormatting sqref="E10:H10">
    <cfRule type="expression" dxfId="10" priority="6">
      <formula>AND($D$8&gt;99.99,$D$10="SHE")</formula>
    </cfRule>
  </conditionalFormatting>
  <conditionalFormatting sqref="D9">
    <cfRule type="expression" dxfId="9" priority="5">
      <formula>AND($D$28="Custom model Required",$D$8&gt;99.99)</formula>
    </cfRule>
  </conditionalFormatting>
  <conditionalFormatting sqref="E9:I9">
    <cfRule type="expression" dxfId="8" priority="4">
      <formula>AND($D$28="Custom model Required",$D$8&gt;99.99)</formula>
    </cfRule>
  </conditionalFormatting>
  <conditionalFormatting sqref="E4">
    <cfRule type="expression" dxfId="7" priority="2">
      <formula>OR(AND($D$4&gt;50,$D$8&lt;=99.99,$D$8&gt;99.99))</formula>
    </cfRule>
  </conditionalFormatting>
  <conditionalFormatting sqref="D4">
    <cfRule type="expression" dxfId="6" priority="1">
      <formula>OR(AND($D$4&gt;50,$D$8&lt;=99.99,$D$8&gt;99.99))</formula>
    </cfRule>
  </conditionalFormatting>
  <dataValidations count="7">
    <dataValidation type="list" allowBlank="1" showInputMessage="1" showErrorMessage="1" sqref="D10">
      <formula1>"SHE, Kurary"</formula1>
    </dataValidation>
    <dataValidation type="list" allowBlank="1" showInputMessage="1" showErrorMessage="1" sqref="D9">
      <formula1>"1,2,3,4,5,6,7,8,9,10"</formula1>
    </dataValidation>
    <dataValidation type="list" allowBlank="1" showInputMessage="1" showErrorMessage="1" sqref="D11">
      <formula1>"Max 0% more than required, Max 5% more than required, Max 10% more than required, Max 15% more than required, Max 20% more than required, Full Capacity"</formula1>
    </dataValidation>
    <dataValidation type="list" allowBlank="1" showInputMessage="1" showErrorMessage="1" sqref="D5">
      <formula1>"Havayar, Oxymat"</formula1>
    </dataValidation>
    <dataValidation type="list" allowBlank="1" showInputMessage="1" showErrorMessage="1" sqref="D6">
      <formula1>"Havayar"</formula1>
    </dataValidation>
    <dataValidation type="list" allowBlank="1" showInputMessage="1" showErrorMessage="1" sqref="D29">
      <formula1>INDIRECT(CONCATENATE($D$5,".N2.Generator.Models"))</formula1>
    </dataValidation>
    <dataValidation type="list" allowBlank="1" showInputMessage="1" showErrorMessage="1" sqref="D8">
      <formula1>$I$85:$I$108</formula1>
    </dataValidation>
  </dataValidations>
  <pageMargins left="0.7" right="0.7" top="0.75" bottom="0.75" header="0.3" footer="0.3"/>
  <pageSetup paperSize="9" scale="37" orientation="portrait" verticalDpi="1200"/>
  <headerFooter alignWithMargins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8"/>
  <sheetViews>
    <sheetView view="pageBreakPreview" zoomScale="80" workbookViewId="0">
      <selection activeCell="F31" sqref="F31:J31"/>
    </sheetView>
  </sheetViews>
  <sheetFormatPr defaultRowHeight="12.75" x14ac:dyDescent="0.2"/>
  <cols>
    <col min="1" max="1" width="3" style="54" bestFit="1" customWidth="1"/>
    <col min="2" max="21" width="6.7109375" style="54" customWidth="1"/>
    <col min="22" max="22" width="9.140625" style="54" customWidth="1"/>
    <col min="23" max="16384" width="9.140625" style="54"/>
  </cols>
  <sheetData>
    <row r="1" spans="1:21" ht="35.25" customHeight="1" thickBot="1" x14ac:dyDescent="0.25">
      <c r="A1" s="100"/>
      <c r="B1" s="101"/>
      <c r="C1" s="101"/>
      <c r="D1" s="101"/>
      <c r="E1" s="101"/>
      <c r="F1" s="102"/>
      <c r="G1" s="109" t="str">
        <f>'[1]Page1-2'!G1:O3</f>
        <v>Title: Data Sheet for HN-700 PSA Nitrogen Generator</v>
      </c>
      <c r="H1" s="110"/>
      <c r="I1" s="110"/>
      <c r="J1" s="110"/>
      <c r="K1" s="110"/>
      <c r="L1" s="110"/>
      <c r="M1" s="110"/>
      <c r="N1" s="110"/>
      <c r="O1" s="111"/>
      <c r="P1" s="118" t="str">
        <f>'[1]Page1-2'!P1:U1</f>
        <v>Document Number: HY-ME-DS-N2-0014</v>
      </c>
      <c r="Q1" s="119"/>
      <c r="R1" s="119"/>
      <c r="S1" s="119"/>
      <c r="T1" s="119"/>
      <c r="U1" s="120"/>
    </row>
    <row r="2" spans="1:21" ht="29.25" customHeight="1" thickBot="1" x14ac:dyDescent="0.25">
      <c r="A2" s="103"/>
      <c r="B2" s="104"/>
      <c r="C2" s="104"/>
      <c r="D2" s="104"/>
      <c r="E2" s="104"/>
      <c r="F2" s="105"/>
      <c r="G2" s="112"/>
      <c r="H2" s="113"/>
      <c r="I2" s="113"/>
      <c r="J2" s="113"/>
      <c r="K2" s="113"/>
      <c r="L2" s="113"/>
      <c r="M2" s="113"/>
      <c r="N2" s="113"/>
      <c r="O2" s="114"/>
      <c r="P2" s="121" t="str">
        <f>'[1]Page1-2'!P2:U2</f>
        <v>Rev: 00</v>
      </c>
      <c r="Q2" s="122"/>
      <c r="R2" s="122"/>
      <c r="S2" s="122"/>
      <c r="T2" s="122"/>
      <c r="U2" s="123"/>
    </row>
    <row r="3" spans="1:21" ht="32.25" customHeight="1" thickBot="1" x14ac:dyDescent="0.25">
      <c r="A3" s="106"/>
      <c r="B3" s="107"/>
      <c r="C3" s="107"/>
      <c r="D3" s="107"/>
      <c r="E3" s="107"/>
      <c r="F3" s="108"/>
      <c r="G3" s="115"/>
      <c r="H3" s="116"/>
      <c r="I3" s="116"/>
      <c r="J3" s="116"/>
      <c r="K3" s="116"/>
      <c r="L3" s="116"/>
      <c r="M3" s="116"/>
      <c r="N3" s="116"/>
      <c r="O3" s="117"/>
      <c r="P3" s="124" t="s">
        <v>103</v>
      </c>
      <c r="Q3" s="125"/>
      <c r="R3" s="125"/>
      <c r="S3" s="125"/>
      <c r="T3" s="125"/>
      <c r="U3" s="126"/>
    </row>
    <row r="4" spans="1:21" ht="24.95" customHeight="1" thickBot="1" x14ac:dyDescent="0.25">
      <c r="A4" s="55">
        <v>1</v>
      </c>
      <c r="B4" s="127" t="s">
        <v>104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9"/>
    </row>
    <row r="5" spans="1:21" ht="24.95" customHeight="1" x14ac:dyDescent="0.2">
      <c r="A5" s="49">
        <f t="shared" ref="A5:A47" si="0">A4+1</f>
        <v>2</v>
      </c>
      <c r="B5" s="130" t="s">
        <v>26</v>
      </c>
      <c r="C5" s="131"/>
      <c r="D5" s="132" t="str">
        <f>'Equipment Selection'!D29</f>
        <v>N-4500x2</v>
      </c>
      <c r="E5" s="132"/>
      <c r="F5" s="132"/>
      <c r="G5" s="133" t="s">
        <v>105</v>
      </c>
      <c r="H5" s="134"/>
      <c r="I5" s="132" t="s">
        <v>106</v>
      </c>
      <c r="J5" s="132"/>
      <c r="K5" s="132"/>
      <c r="L5" s="132"/>
      <c r="M5" s="135" t="s">
        <v>246</v>
      </c>
      <c r="N5" s="131"/>
      <c r="O5" s="131"/>
      <c r="P5" s="132" t="s">
        <v>107</v>
      </c>
      <c r="Q5" s="132"/>
      <c r="R5" s="132"/>
      <c r="S5" s="132"/>
      <c r="T5" s="132"/>
      <c r="U5" s="136"/>
    </row>
    <row r="6" spans="1:21" ht="24.95" customHeight="1" thickBot="1" x14ac:dyDescent="0.25">
      <c r="A6" s="49">
        <f t="shared" si="0"/>
        <v>3</v>
      </c>
      <c r="B6" s="130" t="s">
        <v>247</v>
      </c>
      <c r="C6" s="131"/>
      <c r="D6" s="132">
        <f>'Equipment Selection'!D9</f>
        <v>1</v>
      </c>
      <c r="E6" s="132"/>
      <c r="F6" s="132"/>
      <c r="G6" s="133" t="s">
        <v>108</v>
      </c>
      <c r="H6" s="134"/>
      <c r="I6" s="132" t="s">
        <v>109</v>
      </c>
      <c r="J6" s="132"/>
      <c r="K6" s="132"/>
      <c r="L6" s="132"/>
      <c r="M6" s="135" t="s">
        <v>110</v>
      </c>
      <c r="N6" s="131"/>
      <c r="O6" s="131"/>
      <c r="P6" s="132" t="s">
        <v>111</v>
      </c>
      <c r="Q6" s="132"/>
      <c r="R6" s="132"/>
      <c r="S6" s="132"/>
      <c r="T6" s="132"/>
      <c r="U6" s="136"/>
    </row>
    <row r="7" spans="1:21" ht="24.95" customHeight="1" x14ac:dyDescent="0.2">
      <c r="A7" s="49">
        <f t="shared" si="0"/>
        <v>4</v>
      </c>
      <c r="B7" s="137" t="s">
        <v>112</v>
      </c>
      <c r="C7" s="138"/>
      <c r="D7" s="138"/>
      <c r="E7" s="138"/>
      <c r="F7" s="139"/>
      <c r="G7" s="151" t="str">
        <f>CONCATENATE('Equipment Selection'!D8,"%")</f>
        <v>99.99%</v>
      </c>
      <c r="H7" s="152"/>
      <c r="I7" s="152"/>
      <c r="J7" s="153"/>
      <c r="K7" s="78"/>
      <c r="L7" s="77"/>
      <c r="M7" s="78"/>
      <c r="N7" s="56"/>
      <c r="O7" s="56"/>
      <c r="P7" s="57"/>
      <c r="Q7" s="57"/>
      <c r="R7" s="58"/>
      <c r="S7" s="58"/>
      <c r="T7" s="58"/>
      <c r="U7" s="59"/>
    </row>
    <row r="8" spans="1:21" ht="24.95" customHeight="1" thickBot="1" x14ac:dyDescent="0.25">
      <c r="A8" s="49">
        <f t="shared" si="0"/>
        <v>5</v>
      </c>
      <c r="B8" s="140" t="s">
        <v>113</v>
      </c>
      <c r="C8" s="141"/>
      <c r="D8" s="141"/>
      <c r="E8" s="141"/>
      <c r="F8" s="141"/>
      <c r="G8" s="154" t="str">
        <f>IF('Equipment Selection'!D8&lt;=99.9,CONCATENATE(100-'Equipment Selection'!D8,"%"),CONCATENATE(1000000-10000*'Equipment Selection'!D8,"ppm"))</f>
        <v>100ppm</v>
      </c>
      <c r="H8" s="155"/>
      <c r="I8" s="155"/>
      <c r="J8" s="156"/>
      <c r="K8" s="86"/>
      <c r="L8" s="79"/>
      <c r="M8" s="79"/>
      <c r="N8" s="75"/>
      <c r="O8" s="75"/>
      <c r="P8" s="60"/>
      <c r="Q8" s="60"/>
      <c r="R8" s="61"/>
      <c r="S8" s="61"/>
      <c r="T8" s="61"/>
      <c r="U8" s="62"/>
    </row>
    <row r="9" spans="1:21" ht="24.95" customHeight="1" x14ac:dyDescent="0.2">
      <c r="A9" s="49">
        <f t="shared" si="0"/>
        <v>6</v>
      </c>
      <c r="B9" s="140" t="s">
        <v>114</v>
      </c>
      <c r="C9" s="141"/>
      <c r="D9" s="141"/>
      <c r="E9" s="141"/>
      <c r="F9" s="141"/>
      <c r="G9" s="154" t="str">
        <f ca="1">CONCATENATE(D6,"x",ROUNDUP('Equipment Selection'!D36/Datasheet!D6/0.92,2))</f>
        <v>1x347.83</v>
      </c>
      <c r="H9" s="155"/>
      <c r="I9" s="155"/>
      <c r="J9" s="156"/>
      <c r="K9" s="81"/>
      <c r="L9" s="80"/>
      <c r="M9" s="81"/>
      <c r="N9" s="63"/>
      <c r="O9" s="63"/>
      <c r="P9" s="63"/>
      <c r="Q9" s="63"/>
      <c r="R9" s="63"/>
      <c r="S9" s="63"/>
      <c r="T9" s="63"/>
      <c r="U9" s="64"/>
    </row>
    <row r="10" spans="1:21" ht="24.95" customHeight="1" x14ac:dyDescent="0.2">
      <c r="A10" s="49">
        <f t="shared" si="0"/>
        <v>7</v>
      </c>
      <c r="B10" s="140" t="s">
        <v>261</v>
      </c>
      <c r="C10" s="141"/>
      <c r="D10" s="141"/>
      <c r="E10" s="141"/>
      <c r="F10" s="141"/>
      <c r="G10" s="154" t="str">
        <f ca="1">CONCATENATE(D6,"x",ROUNDUP('Equipment Selection'!D37/Datasheet!D6/60,2))</f>
        <v>1x29.69</v>
      </c>
      <c r="H10" s="155"/>
      <c r="I10" s="155"/>
      <c r="J10" s="156"/>
      <c r="K10" s="83"/>
      <c r="L10" s="82"/>
      <c r="M10" s="83"/>
      <c r="N10" s="65"/>
      <c r="O10" s="65"/>
      <c r="P10" s="65"/>
      <c r="Q10" s="65"/>
      <c r="R10" s="65"/>
      <c r="S10" s="65"/>
      <c r="T10" s="65"/>
      <c r="U10" s="66"/>
    </row>
    <row r="11" spans="1:21" ht="24.95" customHeight="1" x14ac:dyDescent="0.2">
      <c r="A11" s="49">
        <f t="shared" si="0"/>
        <v>8</v>
      </c>
      <c r="B11" s="140" t="s">
        <v>115</v>
      </c>
      <c r="C11" s="141"/>
      <c r="D11" s="141"/>
      <c r="E11" s="141"/>
      <c r="F11" s="141"/>
      <c r="G11" s="157">
        <f ca="1">ROUNDUP('Equipment Selection'!D40,-2)</f>
        <v>4700</v>
      </c>
      <c r="H11" s="158"/>
      <c r="I11" s="158"/>
      <c r="J11" s="159"/>
      <c r="K11" s="85"/>
      <c r="L11" s="84"/>
      <c r="M11" s="85"/>
      <c r="N11" s="67"/>
      <c r="O11" s="67"/>
      <c r="P11" s="67"/>
      <c r="Q11" s="67"/>
      <c r="R11" s="67"/>
      <c r="S11" s="67"/>
      <c r="T11" s="67"/>
      <c r="U11" s="68"/>
    </row>
    <row r="12" spans="1:21" ht="24.95" customHeight="1" thickBot="1" x14ac:dyDescent="0.25">
      <c r="A12" s="49">
        <f t="shared" si="0"/>
        <v>9</v>
      </c>
      <c r="B12" s="142" t="s">
        <v>116</v>
      </c>
      <c r="C12" s="143"/>
      <c r="D12" s="143"/>
      <c r="E12" s="143"/>
      <c r="F12" s="143"/>
      <c r="G12" s="160">
        <f ca="1">ROUNDUP('Equipment Selection'!D38,-2)</f>
        <v>3000</v>
      </c>
      <c r="H12" s="161"/>
      <c r="I12" s="161"/>
      <c r="J12" s="162"/>
      <c r="K12" s="85"/>
      <c r="L12" s="84"/>
      <c r="M12" s="85"/>
      <c r="N12" s="67"/>
      <c r="O12" s="67"/>
      <c r="P12" s="67"/>
      <c r="Q12" s="67"/>
      <c r="R12" s="67"/>
      <c r="S12" s="67"/>
      <c r="T12" s="67"/>
      <c r="U12" s="68"/>
    </row>
    <row r="13" spans="1:21" ht="24.95" customHeight="1" x14ac:dyDescent="0.2">
      <c r="A13" s="49">
        <f t="shared" si="0"/>
        <v>10</v>
      </c>
      <c r="B13" s="144" t="s">
        <v>117</v>
      </c>
      <c r="C13" s="145"/>
      <c r="D13" s="146"/>
      <c r="E13" s="147">
        <v>2000</v>
      </c>
      <c r="F13" s="148"/>
      <c r="G13" s="148"/>
      <c r="H13" s="149" t="s">
        <v>118</v>
      </c>
      <c r="I13" s="149"/>
      <c r="J13" s="149"/>
      <c r="K13" s="150"/>
      <c r="L13" s="163">
        <f ca="1">'Equipment Selection'!D34</f>
        <v>3851.1890543578643</v>
      </c>
      <c r="M13" s="164"/>
      <c r="N13" s="164"/>
      <c r="O13" s="165"/>
      <c r="P13" s="166"/>
      <c r="Q13" s="166"/>
      <c r="R13" s="166"/>
      <c r="S13" s="166"/>
      <c r="T13" s="166"/>
      <c r="U13" s="167"/>
    </row>
    <row r="14" spans="1:21" ht="24.95" customHeight="1" x14ac:dyDescent="0.2">
      <c r="A14" s="49">
        <f t="shared" si="0"/>
        <v>11</v>
      </c>
      <c r="B14" s="168" t="s">
        <v>227</v>
      </c>
      <c r="C14" s="169"/>
      <c r="D14" s="169"/>
      <c r="E14" s="170"/>
      <c r="F14" s="73">
        <f>'Equipment Selection'!D2</f>
        <v>7</v>
      </c>
      <c r="G14" s="171" t="s">
        <v>119</v>
      </c>
      <c r="H14" s="171"/>
      <c r="I14" s="172"/>
      <c r="J14" s="173">
        <f>'Equipment Selection'!D12</f>
        <v>6.2</v>
      </c>
      <c r="K14" s="174"/>
      <c r="L14" s="171" t="s">
        <v>120</v>
      </c>
      <c r="M14" s="171"/>
      <c r="N14" s="172"/>
      <c r="O14" s="175" t="str">
        <f>CONCATENATE(IF('Equipment Selection'!D8&gt;99.99,"-20","+3")," or less")</f>
        <v>+3 or less</v>
      </c>
      <c r="P14" s="176"/>
      <c r="Q14" s="171" t="s">
        <v>121</v>
      </c>
      <c r="R14" s="171"/>
      <c r="S14" s="171"/>
      <c r="T14" s="172"/>
      <c r="U14" s="69">
        <f>'Equipment Selection'!D4</f>
        <v>30</v>
      </c>
    </row>
    <row r="15" spans="1:21" ht="24.95" customHeight="1" thickBot="1" x14ac:dyDescent="0.25">
      <c r="A15" s="49">
        <f t="shared" si="0"/>
        <v>12</v>
      </c>
      <c r="B15" s="183" t="s">
        <v>122</v>
      </c>
      <c r="C15" s="184"/>
      <c r="D15" s="184"/>
      <c r="E15" s="184"/>
      <c r="F15" s="185" t="str">
        <f ca="1">INDEX(INDIRECT(CONCATENATE('Equipment Selection'!D5,".N2.Generator.Dimensions")),MATCH('Equipment Selection'!D29,INDIRECT(CONCATENATE('Equipment Selection'!D5,".N2.Generator.Models")),0))</f>
        <v>200x250x300</v>
      </c>
      <c r="G15" s="186"/>
      <c r="H15" s="184" t="s">
        <v>123</v>
      </c>
      <c r="I15" s="184"/>
      <c r="J15" s="184"/>
      <c r="K15" s="184"/>
      <c r="L15" s="184"/>
      <c r="M15" s="185" t="str">
        <f ca="1">CONCATENATE(LEFT(F15,SEARCH("x",F15)-1)+20,"x",MID(F15,SEARCH("x",F15)+1,SEARCH("x",F15,5)-SEARCH("x",F15)-1)+20,"x",RIGHT(F15,3)+25)</f>
        <v>220x270x325</v>
      </c>
      <c r="N15" s="186"/>
      <c r="O15" s="187" t="s">
        <v>124</v>
      </c>
      <c r="P15" s="187"/>
      <c r="Q15" s="187"/>
      <c r="R15" s="187"/>
      <c r="S15" s="187"/>
      <c r="T15" s="188" t="str">
        <f ca="1">CONCATENATE(LEFT(F15,SEARCH("x",F15)-1)+20,"x",MID(F15,SEARCH("x",F15)+1,SEARCH("x",F15,5)-SEARCH("x",F15)-1)+70,"x",RIGHT(F15,3)+20)</f>
        <v>220x320x320</v>
      </c>
      <c r="U15" s="189"/>
    </row>
    <row r="16" spans="1:21" ht="24.95" customHeight="1" thickBot="1" x14ac:dyDescent="0.25">
      <c r="A16" s="49">
        <f t="shared" si="0"/>
        <v>13</v>
      </c>
      <c r="B16" s="127" t="s">
        <v>125</v>
      </c>
      <c r="C16" s="128"/>
      <c r="D16" s="128"/>
      <c r="E16" s="128"/>
      <c r="F16" s="128"/>
      <c r="G16" s="128"/>
      <c r="H16" s="128"/>
      <c r="I16" s="128"/>
      <c r="J16" s="129"/>
      <c r="K16" s="127" t="s">
        <v>126</v>
      </c>
      <c r="L16" s="128"/>
      <c r="M16" s="128"/>
      <c r="N16" s="128"/>
      <c r="O16" s="128"/>
      <c r="P16" s="128"/>
      <c r="Q16" s="128"/>
      <c r="R16" s="128"/>
      <c r="S16" s="128"/>
      <c r="T16" s="128"/>
      <c r="U16" s="129"/>
    </row>
    <row r="17" spans="1:21" ht="24.95" customHeight="1" x14ac:dyDescent="0.2">
      <c r="A17" s="49">
        <f t="shared" si="0"/>
        <v>14</v>
      </c>
      <c r="B17" s="177" t="s">
        <v>127</v>
      </c>
      <c r="C17" s="178"/>
      <c r="D17" s="178"/>
      <c r="E17" s="178"/>
      <c r="F17" s="178"/>
      <c r="G17" s="178"/>
      <c r="H17" s="179" t="s">
        <v>128</v>
      </c>
      <c r="I17" s="179"/>
      <c r="J17" s="180"/>
      <c r="K17" s="177" t="s">
        <v>129</v>
      </c>
      <c r="L17" s="178"/>
      <c r="M17" s="181" t="s">
        <v>130</v>
      </c>
      <c r="N17" s="181"/>
      <c r="O17" s="50" t="s">
        <v>131</v>
      </c>
      <c r="P17" s="181" t="s">
        <v>132</v>
      </c>
      <c r="Q17" s="181"/>
      <c r="R17" s="181" t="s">
        <v>64</v>
      </c>
      <c r="S17" s="181"/>
      <c r="T17" s="181"/>
      <c r="U17" s="182"/>
    </row>
    <row r="18" spans="1:21" ht="24.95" customHeight="1" x14ac:dyDescent="0.2">
      <c r="A18" s="49">
        <f t="shared" si="0"/>
        <v>15</v>
      </c>
      <c r="B18" s="177" t="s">
        <v>133</v>
      </c>
      <c r="C18" s="178"/>
      <c r="D18" s="178"/>
      <c r="E18" s="178"/>
      <c r="F18" s="178"/>
      <c r="G18" s="178"/>
      <c r="H18" s="190" t="s">
        <v>134</v>
      </c>
      <c r="I18" s="190"/>
      <c r="J18" s="191"/>
      <c r="K18" s="192" t="s">
        <v>135</v>
      </c>
      <c r="L18" s="193"/>
      <c r="M18" s="179" t="s">
        <v>136</v>
      </c>
      <c r="N18" s="179"/>
      <c r="O18" s="51" t="s">
        <v>137</v>
      </c>
      <c r="P18" s="179" t="s">
        <v>138</v>
      </c>
      <c r="Q18" s="179"/>
      <c r="R18" s="194" t="s">
        <v>4</v>
      </c>
      <c r="S18" s="179"/>
      <c r="T18" s="179"/>
      <c r="U18" s="180"/>
    </row>
    <row r="19" spans="1:21" ht="24.95" customHeight="1" x14ac:dyDescent="0.2">
      <c r="A19" s="49">
        <f t="shared" si="0"/>
        <v>16</v>
      </c>
      <c r="B19" s="177" t="s">
        <v>139</v>
      </c>
      <c r="C19" s="178"/>
      <c r="D19" s="178"/>
      <c r="E19" s="178"/>
      <c r="F19" s="178"/>
      <c r="G19" s="178"/>
      <c r="H19" s="190">
        <v>85</v>
      </c>
      <c r="I19" s="190"/>
      <c r="J19" s="191"/>
      <c r="K19" s="192" t="s">
        <v>140</v>
      </c>
      <c r="L19" s="193"/>
      <c r="M19" s="179" t="s">
        <v>136</v>
      </c>
      <c r="N19" s="179"/>
      <c r="O19" s="51" t="s">
        <v>137</v>
      </c>
      <c r="P19" s="179" t="s">
        <v>138</v>
      </c>
      <c r="Q19" s="179"/>
      <c r="R19" s="194" t="s">
        <v>141</v>
      </c>
      <c r="S19" s="179"/>
      <c r="T19" s="179"/>
      <c r="U19" s="180"/>
    </row>
    <row r="20" spans="1:21" ht="24.95" customHeight="1" x14ac:dyDescent="0.2">
      <c r="A20" s="49">
        <f t="shared" si="0"/>
        <v>17</v>
      </c>
      <c r="B20" s="177" t="s">
        <v>142</v>
      </c>
      <c r="C20" s="178"/>
      <c r="D20" s="178"/>
      <c r="E20" s="178"/>
      <c r="F20" s="178"/>
      <c r="G20" s="178"/>
      <c r="H20" s="190">
        <v>0.5</v>
      </c>
      <c r="I20" s="190"/>
      <c r="J20" s="191"/>
      <c r="K20" s="192" t="s">
        <v>143</v>
      </c>
      <c r="L20" s="193"/>
      <c r="M20" s="179" t="s">
        <v>144</v>
      </c>
      <c r="N20" s="179"/>
      <c r="O20" s="51" t="s">
        <v>137</v>
      </c>
      <c r="P20" s="179" t="s">
        <v>138</v>
      </c>
      <c r="Q20" s="179"/>
      <c r="R20" s="179" t="s">
        <v>145</v>
      </c>
      <c r="S20" s="179"/>
      <c r="T20" s="179"/>
      <c r="U20" s="180"/>
    </row>
    <row r="21" spans="1:21" ht="24.95" customHeight="1" thickBot="1" x14ac:dyDescent="0.25">
      <c r="A21" s="49">
        <f t="shared" si="0"/>
        <v>18</v>
      </c>
      <c r="B21" s="177" t="s">
        <v>146</v>
      </c>
      <c r="C21" s="178"/>
      <c r="D21" s="178"/>
      <c r="E21" s="178"/>
      <c r="F21" s="178"/>
      <c r="G21" s="178"/>
      <c r="H21" s="190" t="s">
        <v>147</v>
      </c>
      <c r="I21" s="190"/>
      <c r="J21" s="191"/>
      <c r="K21" s="192" t="s">
        <v>148</v>
      </c>
      <c r="L21" s="193"/>
      <c r="M21" s="179" t="s">
        <v>149</v>
      </c>
      <c r="N21" s="179"/>
      <c r="O21" s="179" t="s">
        <v>150</v>
      </c>
      <c r="P21" s="179"/>
      <c r="Q21" s="179"/>
      <c r="R21" s="179" t="s">
        <v>151</v>
      </c>
      <c r="S21" s="179"/>
      <c r="T21" s="179"/>
      <c r="U21" s="180"/>
    </row>
    <row r="22" spans="1:21" ht="24.95" customHeight="1" thickBot="1" x14ac:dyDescent="0.25">
      <c r="A22" s="49">
        <f t="shared" si="0"/>
        <v>19</v>
      </c>
      <c r="B22" s="177" t="s">
        <v>152</v>
      </c>
      <c r="C22" s="178"/>
      <c r="D22" s="178"/>
      <c r="E22" s="178"/>
      <c r="F22" s="178"/>
      <c r="G22" s="178"/>
      <c r="H22" s="190" t="s">
        <v>153</v>
      </c>
      <c r="I22" s="190"/>
      <c r="J22" s="191"/>
      <c r="K22" s="127" t="s">
        <v>154</v>
      </c>
      <c r="L22" s="128"/>
      <c r="M22" s="128"/>
      <c r="N22" s="128"/>
      <c r="O22" s="128"/>
      <c r="P22" s="128"/>
      <c r="Q22" s="128"/>
      <c r="R22" s="128"/>
      <c r="S22" s="128"/>
      <c r="T22" s="128"/>
      <c r="U22" s="129"/>
    </row>
    <row r="23" spans="1:21" ht="24.95" customHeight="1" x14ac:dyDescent="0.2">
      <c r="A23" s="49">
        <f t="shared" si="0"/>
        <v>20</v>
      </c>
      <c r="B23" s="177" t="s">
        <v>155</v>
      </c>
      <c r="C23" s="178"/>
      <c r="D23" s="178"/>
      <c r="E23" s="178"/>
      <c r="F23" s="178"/>
      <c r="G23" s="178"/>
      <c r="H23" s="190" t="s">
        <v>156</v>
      </c>
      <c r="I23" s="190"/>
      <c r="J23" s="191"/>
      <c r="K23" s="197" t="s">
        <v>157</v>
      </c>
      <c r="L23" s="198"/>
      <c r="M23" s="198"/>
      <c r="N23" s="198"/>
      <c r="O23" s="199" t="s">
        <v>158</v>
      </c>
      <c r="P23" s="199"/>
      <c r="Q23" s="199"/>
      <c r="R23" s="199"/>
      <c r="S23" s="199"/>
      <c r="T23" s="199"/>
      <c r="U23" s="200"/>
    </row>
    <row r="24" spans="1:21" ht="24.95" customHeight="1" x14ac:dyDescent="0.2">
      <c r="A24" s="49">
        <f t="shared" si="0"/>
        <v>21</v>
      </c>
      <c r="B24" s="177" t="s">
        <v>159</v>
      </c>
      <c r="C24" s="178"/>
      <c r="D24" s="178"/>
      <c r="E24" s="178"/>
      <c r="F24" s="178"/>
      <c r="G24" s="178"/>
      <c r="H24" s="190" t="s">
        <v>160</v>
      </c>
      <c r="I24" s="190"/>
      <c r="J24" s="191"/>
      <c r="K24" s="177" t="s">
        <v>161</v>
      </c>
      <c r="L24" s="178"/>
      <c r="M24" s="178"/>
      <c r="N24" s="178"/>
      <c r="O24" s="190" t="s">
        <v>162</v>
      </c>
      <c r="P24" s="190"/>
      <c r="Q24" s="190"/>
      <c r="R24" s="190"/>
      <c r="S24" s="190"/>
      <c r="T24" s="190"/>
      <c r="U24" s="191"/>
    </row>
    <row r="25" spans="1:21" ht="24.95" customHeight="1" thickBot="1" x14ac:dyDescent="0.25">
      <c r="A25" s="49">
        <f t="shared" si="0"/>
        <v>22</v>
      </c>
      <c r="B25" s="177" t="s">
        <v>163</v>
      </c>
      <c r="C25" s="178"/>
      <c r="D25" s="178"/>
      <c r="E25" s="178"/>
      <c r="F25" s="178"/>
      <c r="G25" s="178"/>
      <c r="H25" s="190" t="s">
        <v>164</v>
      </c>
      <c r="I25" s="190"/>
      <c r="J25" s="191"/>
      <c r="K25" s="195" t="s">
        <v>165</v>
      </c>
      <c r="L25" s="196"/>
      <c r="M25" s="196"/>
      <c r="N25" s="196"/>
      <c r="O25" s="179" t="s">
        <v>166</v>
      </c>
      <c r="P25" s="179"/>
      <c r="Q25" s="179"/>
      <c r="R25" s="179"/>
      <c r="S25" s="179"/>
      <c r="T25" s="179"/>
      <c r="U25" s="180"/>
    </row>
    <row r="26" spans="1:21" ht="24.95" customHeight="1" thickBot="1" x14ac:dyDescent="0.25">
      <c r="A26" s="49">
        <f t="shared" si="0"/>
        <v>23</v>
      </c>
      <c r="B26" s="127" t="s">
        <v>167</v>
      </c>
      <c r="C26" s="128"/>
      <c r="D26" s="128"/>
      <c r="E26" s="128"/>
      <c r="F26" s="128"/>
      <c r="G26" s="128"/>
      <c r="H26" s="128"/>
      <c r="I26" s="128"/>
      <c r="J26" s="129"/>
      <c r="K26" s="195" t="s">
        <v>168</v>
      </c>
      <c r="L26" s="196"/>
      <c r="M26" s="196"/>
      <c r="N26" s="196"/>
      <c r="O26" s="179" t="s">
        <v>169</v>
      </c>
      <c r="P26" s="179"/>
      <c r="Q26" s="179"/>
      <c r="R26" s="179"/>
      <c r="S26" s="179"/>
      <c r="T26" s="179"/>
      <c r="U26" s="180"/>
    </row>
    <row r="27" spans="1:21" ht="24.95" customHeight="1" x14ac:dyDescent="0.2">
      <c r="A27" s="49">
        <f t="shared" si="0"/>
        <v>24</v>
      </c>
      <c r="B27" s="201" t="s">
        <v>170</v>
      </c>
      <c r="C27" s="202"/>
      <c r="D27" s="202"/>
      <c r="E27" s="202"/>
      <c r="F27" s="179" t="s">
        <v>171</v>
      </c>
      <c r="G27" s="179"/>
      <c r="H27" s="179"/>
      <c r="I27" s="179"/>
      <c r="J27" s="180"/>
      <c r="K27" s="195" t="s">
        <v>172</v>
      </c>
      <c r="L27" s="196"/>
      <c r="M27" s="196"/>
      <c r="N27" s="196"/>
      <c r="O27" s="179" t="s">
        <v>173</v>
      </c>
      <c r="P27" s="179"/>
      <c r="Q27" s="179"/>
      <c r="R27" s="179"/>
      <c r="S27" s="179"/>
      <c r="T27" s="179"/>
      <c r="U27" s="180"/>
    </row>
    <row r="28" spans="1:21" ht="24.95" customHeight="1" x14ac:dyDescent="0.2">
      <c r="A28" s="49">
        <f t="shared" si="0"/>
        <v>25</v>
      </c>
      <c r="B28" s="201" t="s">
        <v>174</v>
      </c>
      <c r="C28" s="202"/>
      <c r="D28" s="202"/>
      <c r="E28" s="202"/>
      <c r="F28" s="179" t="s">
        <v>175</v>
      </c>
      <c r="G28" s="179"/>
      <c r="H28" s="179"/>
      <c r="I28" s="179"/>
      <c r="J28" s="180"/>
      <c r="K28" s="195" t="s">
        <v>176</v>
      </c>
      <c r="L28" s="196"/>
      <c r="M28" s="196"/>
      <c r="N28" s="196"/>
      <c r="O28" s="179" t="s">
        <v>177</v>
      </c>
      <c r="P28" s="179"/>
      <c r="Q28" s="179"/>
      <c r="R28" s="179"/>
      <c r="S28" s="179"/>
      <c r="T28" s="179"/>
      <c r="U28" s="180"/>
    </row>
    <row r="29" spans="1:21" ht="24.95" customHeight="1" x14ac:dyDescent="0.2">
      <c r="A29" s="49">
        <f t="shared" si="0"/>
        <v>26</v>
      </c>
      <c r="B29" s="201" t="s">
        <v>178</v>
      </c>
      <c r="C29" s="202"/>
      <c r="D29" s="202"/>
      <c r="E29" s="202"/>
      <c r="F29" s="203" t="s">
        <v>179</v>
      </c>
      <c r="G29" s="203"/>
      <c r="H29" s="203"/>
      <c r="I29" s="203"/>
      <c r="J29" s="204"/>
      <c r="K29" s="195" t="s">
        <v>180</v>
      </c>
      <c r="L29" s="196"/>
      <c r="M29" s="196"/>
      <c r="N29" s="196"/>
      <c r="O29" s="179" t="s">
        <v>181</v>
      </c>
      <c r="P29" s="179"/>
      <c r="Q29" s="179"/>
      <c r="R29" s="179"/>
      <c r="S29" s="179"/>
      <c r="T29" s="179"/>
      <c r="U29" s="180"/>
    </row>
    <row r="30" spans="1:21" ht="24.95" customHeight="1" x14ac:dyDescent="0.2">
      <c r="A30" s="49">
        <f t="shared" si="0"/>
        <v>27</v>
      </c>
      <c r="B30" s="201" t="s">
        <v>182</v>
      </c>
      <c r="C30" s="202"/>
      <c r="D30" s="202"/>
      <c r="E30" s="202"/>
      <c r="F30" s="179" t="s">
        <v>183</v>
      </c>
      <c r="G30" s="179"/>
      <c r="H30" s="179"/>
      <c r="I30" s="179"/>
      <c r="J30" s="180"/>
      <c r="K30" s="195" t="s">
        <v>184</v>
      </c>
      <c r="L30" s="196"/>
      <c r="M30" s="196"/>
      <c r="N30" s="196"/>
      <c r="O30" s="179">
        <v>100</v>
      </c>
      <c r="P30" s="179"/>
      <c r="Q30" s="179"/>
      <c r="R30" s="179"/>
      <c r="S30" s="179"/>
      <c r="T30" s="179"/>
      <c r="U30" s="180"/>
    </row>
    <row r="31" spans="1:21" ht="24.95" customHeight="1" x14ac:dyDescent="0.2">
      <c r="A31" s="49">
        <f t="shared" si="0"/>
        <v>28</v>
      </c>
      <c r="B31" s="201" t="s">
        <v>185</v>
      </c>
      <c r="C31" s="202"/>
      <c r="D31" s="202"/>
      <c r="E31" s="202"/>
      <c r="F31" s="179" t="s">
        <v>186</v>
      </c>
      <c r="G31" s="179"/>
      <c r="H31" s="179"/>
      <c r="I31" s="179"/>
      <c r="J31" s="180"/>
      <c r="K31" s="195" t="s">
        <v>187</v>
      </c>
      <c r="L31" s="196"/>
      <c r="M31" s="196"/>
      <c r="N31" s="196"/>
      <c r="O31" s="214" t="s">
        <v>188</v>
      </c>
      <c r="P31" s="214"/>
      <c r="Q31" s="214"/>
      <c r="R31" s="214"/>
      <c r="S31" s="214"/>
      <c r="T31" s="214"/>
      <c r="U31" s="215"/>
    </row>
    <row r="32" spans="1:21" ht="24.95" customHeight="1" thickBot="1" x14ac:dyDescent="0.25">
      <c r="A32" s="49">
        <f t="shared" si="0"/>
        <v>29</v>
      </c>
      <c r="B32" s="201" t="s">
        <v>189</v>
      </c>
      <c r="C32" s="202"/>
      <c r="D32" s="202"/>
      <c r="E32" s="202"/>
      <c r="F32" s="179" t="s">
        <v>190</v>
      </c>
      <c r="G32" s="179"/>
      <c r="H32" s="179"/>
      <c r="I32" s="179"/>
      <c r="J32" s="180"/>
      <c r="K32" s="205"/>
      <c r="L32" s="206"/>
      <c r="M32" s="206"/>
      <c r="N32" s="206"/>
      <c r="O32" s="214"/>
      <c r="P32" s="214"/>
      <c r="Q32" s="214"/>
      <c r="R32" s="214"/>
      <c r="S32" s="214"/>
      <c r="T32" s="214"/>
      <c r="U32" s="215"/>
    </row>
    <row r="33" spans="1:21" ht="24.95" customHeight="1" thickBot="1" x14ac:dyDescent="0.25">
      <c r="A33" s="49">
        <f t="shared" si="0"/>
        <v>30</v>
      </c>
      <c r="B33" s="207" t="s">
        <v>191</v>
      </c>
      <c r="C33" s="208"/>
      <c r="D33" s="208"/>
      <c r="E33" s="208"/>
      <c r="F33" s="208"/>
      <c r="G33" s="208"/>
      <c r="H33" s="208"/>
      <c r="I33" s="208"/>
      <c r="J33" s="209"/>
      <c r="K33" s="127" t="s">
        <v>192</v>
      </c>
      <c r="L33" s="128"/>
      <c r="M33" s="128"/>
      <c r="N33" s="128"/>
      <c r="O33" s="128"/>
      <c r="P33" s="128"/>
      <c r="Q33" s="128"/>
      <c r="R33" s="128"/>
      <c r="S33" s="128"/>
      <c r="T33" s="128"/>
      <c r="U33" s="129"/>
    </row>
    <row r="34" spans="1:21" ht="24.95" customHeight="1" x14ac:dyDescent="0.2">
      <c r="A34" s="49">
        <f t="shared" si="0"/>
        <v>31</v>
      </c>
      <c r="B34" s="210" t="s">
        <v>193</v>
      </c>
      <c r="C34" s="211"/>
      <c r="D34" s="211"/>
      <c r="E34" s="211"/>
      <c r="F34" s="212" t="s">
        <v>194</v>
      </c>
      <c r="G34" s="212"/>
      <c r="H34" s="212"/>
      <c r="I34" s="212"/>
      <c r="J34" s="213"/>
      <c r="K34" s="70"/>
      <c r="L34" s="71"/>
      <c r="M34" s="71"/>
      <c r="N34" s="71"/>
      <c r="O34" s="71"/>
      <c r="P34" s="71"/>
      <c r="Q34" s="71"/>
      <c r="R34" s="71"/>
      <c r="S34" s="71"/>
      <c r="T34" s="71"/>
      <c r="U34" s="72"/>
    </row>
    <row r="35" spans="1:21" ht="24.95" customHeight="1" x14ac:dyDescent="0.2">
      <c r="A35" s="49">
        <f t="shared" si="0"/>
        <v>32</v>
      </c>
      <c r="B35" s="201" t="s">
        <v>195</v>
      </c>
      <c r="C35" s="202"/>
      <c r="D35" s="202"/>
      <c r="E35" s="202"/>
      <c r="F35" s="179" t="s">
        <v>196</v>
      </c>
      <c r="G35" s="179"/>
      <c r="H35" s="179"/>
      <c r="I35" s="179"/>
      <c r="J35" s="180"/>
      <c r="K35" s="70"/>
      <c r="L35" s="71"/>
      <c r="M35" s="71"/>
      <c r="N35" s="71"/>
      <c r="O35" s="71"/>
      <c r="P35" s="71"/>
      <c r="Q35" s="71"/>
      <c r="R35" s="71"/>
      <c r="S35" s="71"/>
      <c r="T35" s="71"/>
      <c r="U35" s="72"/>
    </row>
    <row r="36" spans="1:21" ht="24.95" customHeight="1" x14ac:dyDescent="0.2">
      <c r="A36" s="49">
        <f t="shared" si="0"/>
        <v>33</v>
      </c>
      <c r="B36" s="201" t="s">
        <v>197</v>
      </c>
      <c r="C36" s="202"/>
      <c r="D36" s="202"/>
      <c r="E36" s="202"/>
      <c r="F36" s="179" t="s">
        <v>198</v>
      </c>
      <c r="G36" s="179"/>
      <c r="H36" s="179"/>
      <c r="I36" s="179"/>
      <c r="J36" s="180"/>
      <c r="K36" s="70"/>
      <c r="L36" s="71"/>
      <c r="M36" s="71"/>
      <c r="N36" s="71"/>
      <c r="O36" s="71"/>
      <c r="P36" s="71"/>
      <c r="Q36" s="71"/>
      <c r="R36" s="71"/>
      <c r="S36" s="71"/>
      <c r="T36" s="71"/>
      <c r="U36" s="72"/>
    </row>
    <row r="37" spans="1:21" ht="24.95" customHeight="1" x14ac:dyDescent="0.2">
      <c r="A37" s="49">
        <f t="shared" si="0"/>
        <v>34</v>
      </c>
      <c r="B37" s="201" t="s">
        <v>199</v>
      </c>
      <c r="C37" s="202"/>
      <c r="D37" s="202"/>
      <c r="E37" s="202"/>
      <c r="F37" s="179" t="s">
        <v>90</v>
      </c>
      <c r="G37" s="179"/>
      <c r="H37" s="179"/>
      <c r="I37" s="179"/>
      <c r="J37" s="180"/>
      <c r="K37" s="70"/>
      <c r="L37" s="71"/>
      <c r="M37" s="71"/>
      <c r="N37" s="71"/>
      <c r="O37" s="71"/>
      <c r="P37" s="71"/>
      <c r="Q37" s="71"/>
      <c r="R37" s="71"/>
      <c r="S37" s="71"/>
      <c r="T37" s="71"/>
      <c r="U37" s="72"/>
    </row>
    <row r="38" spans="1:21" ht="24.95" customHeight="1" x14ac:dyDescent="0.2">
      <c r="A38" s="49">
        <f t="shared" si="0"/>
        <v>35</v>
      </c>
      <c r="B38" s="201" t="s">
        <v>200</v>
      </c>
      <c r="C38" s="202"/>
      <c r="D38" s="202"/>
      <c r="E38" s="202"/>
      <c r="F38" s="179" t="s">
        <v>201</v>
      </c>
      <c r="G38" s="179"/>
      <c r="H38" s="179"/>
      <c r="I38" s="179"/>
      <c r="J38" s="180"/>
      <c r="K38" s="70"/>
      <c r="L38" s="71"/>
      <c r="M38" s="71"/>
      <c r="N38" s="71"/>
      <c r="O38" s="71"/>
      <c r="P38" s="71"/>
      <c r="Q38" s="71"/>
      <c r="R38" s="71"/>
      <c r="S38" s="71"/>
      <c r="T38" s="71"/>
      <c r="U38" s="72"/>
    </row>
    <row r="39" spans="1:21" ht="24.95" customHeight="1" thickBot="1" x14ac:dyDescent="0.25">
      <c r="A39" s="49">
        <f t="shared" si="0"/>
        <v>36</v>
      </c>
      <c r="B39" s="216" t="s">
        <v>202</v>
      </c>
      <c r="C39" s="217"/>
      <c r="D39" s="217"/>
      <c r="E39" s="217"/>
      <c r="F39" s="218" t="s">
        <v>194</v>
      </c>
      <c r="G39" s="218"/>
      <c r="H39" s="218"/>
      <c r="I39" s="218"/>
      <c r="J39" s="219"/>
      <c r="K39" s="70"/>
      <c r="L39" s="71"/>
      <c r="M39" s="71"/>
      <c r="N39" s="71"/>
      <c r="O39" s="71"/>
      <c r="P39" s="71"/>
      <c r="Q39" s="71"/>
      <c r="R39" s="71"/>
      <c r="S39" s="71"/>
      <c r="T39" s="71"/>
      <c r="U39" s="72"/>
    </row>
    <row r="40" spans="1:21" ht="24.95" customHeight="1" thickBot="1" x14ac:dyDescent="0.25">
      <c r="A40" s="49">
        <f t="shared" si="0"/>
        <v>37</v>
      </c>
      <c r="B40" s="127" t="s">
        <v>203</v>
      </c>
      <c r="C40" s="128"/>
      <c r="D40" s="128"/>
      <c r="E40" s="128"/>
      <c r="F40" s="128"/>
      <c r="G40" s="128"/>
      <c r="H40" s="128"/>
      <c r="I40" s="128"/>
      <c r="J40" s="129"/>
      <c r="K40" s="70"/>
      <c r="L40" s="71"/>
      <c r="M40" s="71"/>
      <c r="N40" s="71"/>
      <c r="O40" s="71"/>
      <c r="P40" s="71"/>
      <c r="Q40" s="71"/>
      <c r="R40" s="71"/>
      <c r="S40" s="71"/>
      <c r="T40" s="71"/>
      <c r="U40" s="72"/>
    </row>
    <row r="41" spans="1:21" ht="24.95" customHeight="1" x14ac:dyDescent="0.2">
      <c r="A41" s="49">
        <f t="shared" si="0"/>
        <v>38</v>
      </c>
      <c r="B41" s="201" t="s">
        <v>204</v>
      </c>
      <c r="C41" s="202"/>
      <c r="D41" s="202"/>
      <c r="E41" s="202"/>
      <c r="F41" s="202"/>
      <c r="G41" s="202"/>
      <c r="H41" s="179" t="s">
        <v>205</v>
      </c>
      <c r="I41" s="179"/>
      <c r="J41" s="180"/>
      <c r="K41" s="70"/>
      <c r="L41" s="71"/>
      <c r="M41" s="71"/>
      <c r="N41" s="71"/>
      <c r="O41" s="71"/>
      <c r="P41" s="71"/>
      <c r="Q41" s="71"/>
      <c r="R41" s="71"/>
      <c r="S41" s="71"/>
      <c r="T41" s="71"/>
      <c r="U41" s="72"/>
    </row>
    <row r="42" spans="1:21" ht="24.95" customHeight="1" thickBot="1" x14ac:dyDescent="0.25">
      <c r="A42" s="49">
        <f t="shared" si="0"/>
        <v>39</v>
      </c>
      <c r="B42" s="201" t="s">
        <v>206</v>
      </c>
      <c r="C42" s="202"/>
      <c r="D42" s="202"/>
      <c r="E42" s="202"/>
      <c r="F42" s="202"/>
      <c r="G42" s="202"/>
      <c r="H42" s="179" t="s">
        <v>207</v>
      </c>
      <c r="I42" s="179"/>
      <c r="J42" s="180"/>
      <c r="K42" s="70"/>
      <c r="L42" s="71"/>
      <c r="M42" s="71"/>
      <c r="N42" s="71"/>
      <c r="O42" s="71"/>
      <c r="P42" s="71"/>
      <c r="Q42" s="71"/>
      <c r="R42" s="71"/>
      <c r="S42" s="71"/>
      <c r="T42" s="71"/>
      <c r="U42" s="72"/>
    </row>
    <row r="43" spans="1:21" ht="24.95" customHeight="1" thickBot="1" x14ac:dyDescent="0.25">
      <c r="A43" s="49">
        <f t="shared" si="0"/>
        <v>40</v>
      </c>
      <c r="B43" s="216" t="s">
        <v>208</v>
      </c>
      <c r="C43" s="217"/>
      <c r="D43" s="217"/>
      <c r="E43" s="217"/>
      <c r="F43" s="217"/>
      <c r="G43" s="217"/>
      <c r="H43" s="223" t="s">
        <v>209</v>
      </c>
      <c r="I43" s="223"/>
      <c r="J43" s="224"/>
      <c r="K43" s="127" t="s">
        <v>210</v>
      </c>
      <c r="L43" s="128"/>
      <c r="M43" s="128"/>
      <c r="N43" s="128"/>
      <c r="O43" s="128"/>
      <c r="P43" s="128"/>
      <c r="Q43" s="128"/>
      <c r="R43" s="128"/>
      <c r="S43" s="128"/>
      <c r="T43" s="128"/>
      <c r="U43" s="129"/>
    </row>
    <row r="44" spans="1:21" ht="24.95" customHeight="1" thickBot="1" x14ac:dyDescent="0.25">
      <c r="A44" s="49">
        <f t="shared" si="0"/>
        <v>41</v>
      </c>
      <c r="B44" s="127" t="s">
        <v>211</v>
      </c>
      <c r="C44" s="128"/>
      <c r="D44" s="128"/>
      <c r="E44" s="128"/>
      <c r="F44" s="128"/>
      <c r="G44" s="128"/>
      <c r="H44" s="128"/>
      <c r="I44" s="128"/>
      <c r="J44" s="129"/>
      <c r="K44" s="52" t="s">
        <v>212</v>
      </c>
      <c r="L44" s="221" t="s">
        <v>213</v>
      </c>
      <c r="M44" s="221"/>
      <c r="N44" s="221"/>
      <c r="O44" s="221"/>
      <c r="P44" s="221"/>
      <c r="Q44" s="221"/>
      <c r="R44" s="221"/>
      <c r="S44" s="221"/>
      <c r="T44" s="221"/>
      <c r="U44" s="222"/>
    </row>
    <row r="45" spans="1:21" ht="24.95" customHeight="1" x14ac:dyDescent="0.2">
      <c r="A45" s="49">
        <f t="shared" si="0"/>
        <v>42</v>
      </c>
      <c r="B45" s="201" t="s">
        <v>214</v>
      </c>
      <c r="C45" s="202"/>
      <c r="D45" s="202"/>
      <c r="E45" s="202"/>
      <c r="F45" s="179" t="s">
        <v>215</v>
      </c>
      <c r="G45" s="179"/>
      <c r="H45" s="179"/>
      <c r="I45" s="179"/>
      <c r="J45" s="180"/>
      <c r="K45" s="53" t="s">
        <v>216</v>
      </c>
      <c r="L45" s="227" t="s">
        <v>217</v>
      </c>
      <c r="M45" s="227"/>
      <c r="N45" s="227"/>
      <c r="O45" s="227"/>
      <c r="P45" s="227"/>
      <c r="Q45" s="227"/>
      <c r="R45" s="227"/>
      <c r="S45" s="227"/>
      <c r="T45" s="227"/>
      <c r="U45" s="228"/>
    </row>
    <row r="46" spans="1:21" ht="24.95" customHeight="1" x14ac:dyDescent="0.2">
      <c r="A46" s="49">
        <f t="shared" si="0"/>
        <v>43</v>
      </c>
      <c r="B46" s="201" t="s">
        <v>218</v>
      </c>
      <c r="C46" s="202"/>
      <c r="D46" s="202"/>
      <c r="E46" s="202"/>
      <c r="F46" s="179" t="s">
        <v>219</v>
      </c>
      <c r="G46" s="179"/>
      <c r="H46" s="179"/>
      <c r="I46" s="179"/>
      <c r="J46" s="180"/>
      <c r="K46" s="52" t="s">
        <v>220</v>
      </c>
      <c r="L46" s="221" t="s">
        <v>221</v>
      </c>
      <c r="M46" s="221"/>
      <c r="N46" s="221"/>
      <c r="O46" s="221"/>
      <c r="P46" s="221"/>
      <c r="Q46" s="221"/>
      <c r="R46" s="221"/>
      <c r="S46" s="221"/>
      <c r="T46" s="221"/>
      <c r="U46" s="222"/>
    </row>
    <row r="47" spans="1:21" ht="24.95" customHeight="1" thickBot="1" x14ac:dyDescent="0.25">
      <c r="A47" s="49">
        <f t="shared" si="0"/>
        <v>44</v>
      </c>
      <c r="B47" s="216" t="s">
        <v>222</v>
      </c>
      <c r="C47" s="217"/>
      <c r="D47" s="217"/>
      <c r="E47" s="217"/>
      <c r="F47" s="223" t="s">
        <v>223</v>
      </c>
      <c r="G47" s="223"/>
      <c r="H47" s="223"/>
      <c r="I47" s="223"/>
      <c r="J47" s="224"/>
      <c r="K47" s="52" t="s">
        <v>224</v>
      </c>
      <c r="L47" s="225" t="s">
        <v>225</v>
      </c>
      <c r="M47" s="187"/>
      <c r="N47" s="187"/>
      <c r="O47" s="187"/>
      <c r="P47" s="187"/>
      <c r="Q47" s="187"/>
      <c r="R47" s="187"/>
      <c r="S47" s="187"/>
      <c r="T47" s="187"/>
      <c r="U47" s="226"/>
    </row>
    <row r="48" spans="1:21" ht="18.75" customHeight="1" x14ac:dyDescent="0.2">
      <c r="A48" s="220" t="s">
        <v>226</v>
      </c>
      <c r="B48" s="220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</row>
  </sheetData>
  <mergeCells count="154">
    <mergeCell ref="A48:U48"/>
    <mergeCell ref="B46:E46"/>
    <mergeCell ref="F46:J46"/>
    <mergeCell ref="L46:U46"/>
    <mergeCell ref="B47:E47"/>
    <mergeCell ref="F47:J47"/>
    <mergeCell ref="L47:U47"/>
    <mergeCell ref="B43:G43"/>
    <mergeCell ref="H43:J43"/>
    <mergeCell ref="K43:U43"/>
    <mergeCell ref="B44:J44"/>
    <mergeCell ref="L44:U44"/>
    <mergeCell ref="B45:E45"/>
    <mergeCell ref="F45:J45"/>
    <mergeCell ref="L45:U45"/>
    <mergeCell ref="B39:E39"/>
    <mergeCell ref="F39:J39"/>
    <mergeCell ref="B40:J40"/>
    <mergeCell ref="B41:G41"/>
    <mergeCell ref="H41:J41"/>
    <mergeCell ref="B42:G42"/>
    <mergeCell ref="H42:J42"/>
    <mergeCell ref="B36:E36"/>
    <mergeCell ref="F36:J36"/>
    <mergeCell ref="B37:E37"/>
    <mergeCell ref="F37:J37"/>
    <mergeCell ref="B38:E38"/>
    <mergeCell ref="F38:J38"/>
    <mergeCell ref="K32:N32"/>
    <mergeCell ref="B33:J33"/>
    <mergeCell ref="K33:U33"/>
    <mergeCell ref="B34:E34"/>
    <mergeCell ref="F34:J34"/>
    <mergeCell ref="B35:E35"/>
    <mergeCell ref="F35:J35"/>
    <mergeCell ref="B30:E30"/>
    <mergeCell ref="F30:J30"/>
    <mergeCell ref="K30:N30"/>
    <mergeCell ref="O30:U30"/>
    <mergeCell ref="B31:E31"/>
    <mergeCell ref="F31:J31"/>
    <mergeCell ref="K31:N31"/>
    <mergeCell ref="O31:U32"/>
    <mergeCell ref="B32:E32"/>
    <mergeCell ref="F32:J32"/>
    <mergeCell ref="B28:E28"/>
    <mergeCell ref="F28:J28"/>
    <mergeCell ref="K28:N28"/>
    <mergeCell ref="O28:U28"/>
    <mergeCell ref="B29:E29"/>
    <mergeCell ref="F29:J29"/>
    <mergeCell ref="K29:N29"/>
    <mergeCell ref="O29:U29"/>
    <mergeCell ref="B26:J26"/>
    <mergeCell ref="K26:N26"/>
    <mergeCell ref="O26:U26"/>
    <mergeCell ref="B27:E27"/>
    <mergeCell ref="F27:J27"/>
    <mergeCell ref="K27:N27"/>
    <mergeCell ref="O27:U27"/>
    <mergeCell ref="B24:G24"/>
    <mergeCell ref="H24:J24"/>
    <mergeCell ref="K24:N24"/>
    <mergeCell ref="O24:U24"/>
    <mergeCell ref="B25:G25"/>
    <mergeCell ref="H25:J25"/>
    <mergeCell ref="K25:N25"/>
    <mergeCell ref="O25:U25"/>
    <mergeCell ref="B22:G22"/>
    <mergeCell ref="H22:J22"/>
    <mergeCell ref="K22:U22"/>
    <mergeCell ref="B23:G23"/>
    <mergeCell ref="H23:J23"/>
    <mergeCell ref="K23:N23"/>
    <mergeCell ref="O23:U23"/>
    <mergeCell ref="B21:G21"/>
    <mergeCell ref="H21:J21"/>
    <mergeCell ref="K21:L21"/>
    <mergeCell ref="M21:N21"/>
    <mergeCell ref="O21:Q21"/>
    <mergeCell ref="R21:U21"/>
    <mergeCell ref="B20:G20"/>
    <mergeCell ref="H20:J20"/>
    <mergeCell ref="K20:L20"/>
    <mergeCell ref="M20:N20"/>
    <mergeCell ref="P20:Q20"/>
    <mergeCell ref="R20:U20"/>
    <mergeCell ref="B19:G19"/>
    <mergeCell ref="H19:J19"/>
    <mergeCell ref="K19:L19"/>
    <mergeCell ref="M19:N19"/>
    <mergeCell ref="P19:Q19"/>
    <mergeCell ref="R19:U19"/>
    <mergeCell ref="B18:G18"/>
    <mergeCell ref="H18:J18"/>
    <mergeCell ref="K18:L18"/>
    <mergeCell ref="M18:N18"/>
    <mergeCell ref="P18:Q18"/>
    <mergeCell ref="R18:U18"/>
    <mergeCell ref="B17:G17"/>
    <mergeCell ref="H17:J17"/>
    <mergeCell ref="K17:L17"/>
    <mergeCell ref="M17:N17"/>
    <mergeCell ref="P17:Q17"/>
    <mergeCell ref="R17:U17"/>
    <mergeCell ref="Q14:T14"/>
    <mergeCell ref="B15:E15"/>
    <mergeCell ref="F15:G15"/>
    <mergeCell ref="H15:L15"/>
    <mergeCell ref="M15:N15"/>
    <mergeCell ref="O15:S15"/>
    <mergeCell ref="T15:U15"/>
    <mergeCell ref="L13:N13"/>
    <mergeCell ref="O13:U13"/>
    <mergeCell ref="B14:E14"/>
    <mergeCell ref="G14:I14"/>
    <mergeCell ref="J14:K14"/>
    <mergeCell ref="L14:N14"/>
    <mergeCell ref="O14:P14"/>
    <mergeCell ref="B16:J16"/>
    <mergeCell ref="K16:U16"/>
    <mergeCell ref="B7:F7"/>
    <mergeCell ref="B8:F8"/>
    <mergeCell ref="B9:F9"/>
    <mergeCell ref="B10:F10"/>
    <mergeCell ref="B11:F11"/>
    <mergeCell ref="B12:F12"/>
    <mergeCell ref="B13:D13"/>
    <mergeCell ref="E13:G13"/>
    <mergeCell ref="H13:K13"/>
    <mergeCell ref="G7:J7"/>
    <mergeCell ref="G8:J8"/>
    <mergeCell ref="G9:J9"/>
    <mergeCell ref="G10:J10"/>
    <mergeCell ref="G11:J11"/>
    <mergeCell ref="G12:J12"/>
    <mergeCell ref="A1:F3"/>
    <mergeCell ref="G1:O3"/>
    <mergeCell ref="P1:U1"/>
    <mergeCell ref="P2:U2"/>
    <mergeCell ref="P3:U3"/>
    <mergeCell ref="B4:U4"/>
    <mergeCell ref="B6:C6"/>
    <mergeCell ref="D6:F6"/>
    <mergeCell ref="G6:H6"/>
    <mergeCell ref="I6:L6"/>
    <mergeCell ref="M6:O6"/>
    <mergeCell ref="P6:U6"/>
    <mergeCell ref="B5:C5"/>
    <mergeCell ref="D5:F5"/>
    <mergeCell ref="G5:H5"/>
    <mergeCell ref="I5:L5"/>
    <mergeCell ref="M5:O5"/>
    <mergeCell ref="P5:U5"/>
  </mergeCells>
  <printOptions horizontalCentered="1"/>
  <pageMargins left="0" right="0" top="0.5" bottom="0.5" header="0" footer="0"/>
  <pageSetup paperSize="9"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4500"/>
  </sheetPr>
  <dimension ref="A10"/>
  <sheetViews>
    <sheetView tabSelected="1" workbookViewId="0"/>
  </sheetViews>
  <sheetFormatPr defaultRowHeight="15" x14ac:dyDescent="0.25"/>
  <sheetData>
    <row r="10" spans="1:1" ht="24.95" customHeight="1" x14ac:dyDescent="0.3">
      <c r="A10" s="87" t="s">
        <v>262</v>
      </c>
    </row>
  </sheetData>
  <sheetProtection algorithmName="SHA-512" hashValue="Tyxhq20TSyfyE/VWj46MdVzW3LSbMOeVJuWj8YgyZH/8LOtJoQj7S7VBJPihjT3vhaGTPMV6Kj9pPAN4g54yIA==" saltValue="iYvn16STKjgHMB8dxlfTgg==" spinCount="100000" sheet="1" objects="1" scenarios="1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Equipment Selection</vt:lpstr>
      <vt:lpstr>Datasheet</vt:lpstr>
      <vt:lpstr>Evaluation Warning</vt:lpstr>
      <vt:lpstr>Havayar.N2.Generator.Adsorbent.Weight</vt:lpstr>
      <vt:lpstr>Havayar.N2.Generator.Dimensions</vt:lpstr>
      <vt:lpstr>Havayar.N2.Generator.Models</vt:lpstr>
      <vt:lpstr>Havayar.N2.Generator.Towers.Net.Volume</vt:lpstr>
      <vt:lpstr>Havayar.N2.Generator.Volume</vt:lpstr>
      <vt:lpstr>Havayar.Receiver.Capacity</vt:lpstr>
      <vt:lpstr>Havayar.Receiver.Models</vt:lpstr>
      <vt:lpstr>Oxymat.N2.Generator.Adsorbent.Weight</vt:lpstr>
      <vt:lpstr>Oxymat.N2.Generator.Dimensions</vt:lpstr>
      <vt:lpstr>Oxymat.N2.Generator.Models</vt:lpstr>
      <vt:lpstr>Oxymat.N2.Generator.Towers.Net.Volume</vt:lpstr>
      <vt:lpstr>Oxymat.N2.Generator.Volume</vt:lpstr>
      <vt:lpstr>Datasheet!Print_Area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Erfani Mohammad</dc:creator>
  <cp:lastModifiedBy>nimda</cp:lastModifiedBy>
  <dcterms:created xsi:type="dcterms:W3CDTF">2015-06-05T18:17:20Z</dcterms:created>
  <dcterms:modified xsi:type="dcterms:W3CDTF">2024-11-30T12:48:51Z</dcterms:modified>
</cp:coreProperties>
</file>