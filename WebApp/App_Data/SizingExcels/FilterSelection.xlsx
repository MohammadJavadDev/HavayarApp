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 rupBuild="23628"/>
  <workbookPr codeName="ThisWorkbook" defaultThemeVersion="166925"/>
  <bookViews>
    <workbookView xWindow="28680" yWindow="-120" windowWidth="29040" windowHeight="15840" activeTab="1"/>
  </bookViews>
  <sheets>
    <sheet name="Sheet1" sheetId="3" r:id="rId1"/>
    <sheet name="Evaluation Warning" sheetId="4" r:id="rId2"/>
  </sheets>
  <calcPr fullPrecision="1"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<sst xmlns="http://schemas.openxmlformats.org/spreadsheetml/2006/main" uniqueCount="137" count="209">
  <si>
    <t>Flow Rate</t>
  </si>
  <si>
    <t>According to PID and DSH</t>
  </si>
  <si>
    <r>
      <t>Nm</t>
    </r>
    <r>
      <rPr>
        <vertAlign val="superscript"/>
        <sz val="12"/>
        <color theme="1"/>
        <rFont val="Calibri"/>
        <family val="2"/>
        <charset val="0"/>
        <scheme val="minor"/>
      </rPr>
      <t>3</t>
    </r>
    <r>
      <rPr>
        <sz val="11"/>
        <color theme="1"/>
        <rFont val="Calibri"/>
        <family val="2"/>
        <charset val="0"/>
        <scheme val="minor"/>
      </rPr>
      <t>/hr</t>
    </r>
  </si>
  <si>
    <t>Correction Factor</t>
  </si>
  <si>
    <t>Operating Pressure (Bar)</t>
  </si>
  <si>
    <t>Operating Pressure (PSI)</t>
  </si>
  <si>
    <t>Interpolation</t>
  </si>
  <si>
    <t>3/8"</t>
  </si>
  <si>
    <t>1/2"</t>
  </si>
  <si>
    <t>3/4"</t>
  </si>
  <si>
    <t>1"</t>
  </si>
  <si>
    <t>11/2"</t>
  </si>
  <si>
    <t>2"</t>
  </si>
  <si>
    <t>21/2"</t>
  </si>
  <si>
    <t>3"</t>
  </si>
  <si>
    <t>Pressure</t>
  </si>
  <si>
    <t>Corr. Factor</t>
  </si>
  <si>
    <t>Calculation:</t>
  </si>
  <si>
    <t>Barg</t>
  </si>
  <si>
    <t>Created with a trial version of Syncfusion Essential XlsIO</t>
  </si>
  <si>
    <t>Particle Class</t>
  </si>
  <si>
    <t>--</t>
  </si>
  <si>
    <t>According to ISO 8573-1 or Concentration</t>
  </si>
  <si>
    <t xml:space="preserve">Oil Class </t>
  </si>
  <si>
    <t>Filter Housing Size</t>
  </si>
  <si>
    <t>Pipe Size
(inch)</t>
  </si>
  <si>
    <t>Flow Rate @ 7 barg 20°</t>
  </si>
  <si>
    <t>Element</t>
  </si>
  <si>
    <t>AF 0056</t>
  </si>
  <si>
    <t>16 / 232</t>
  </si>
  <si>
    <t>1 x 06050</t>
  </si>
  <si>
    <t>AF 0076</t>
  </si>
  <si>
    <t>1 x 07050</t>
  </si>
  <si>
    <t>AF 0106</t>
  </si>
  <si>
    <t>1 x 14050</t>
  </si>
  <si>
    <t>AF 0186</t>
  </si>
  <si>
    <t>1 x 12075</t>
  </si>
  <si>
    <t>AF 0306</t>
  </si>
  <si>
    <t>1 x 22075</t>
  </si>
  <si>
    <t>AF 0476</t>
  </si>
  <si>
    <t>1 x 32075</t>
  </si>
  <si>
    <t>AF 0706</t>
  </si>
  <si>
    <t>1 x 50075</t>
  </si>
  <si>
    <t>AF 0946</t>
  </si>
  <si>
    <t>1 x 51090</t>
  </si>
  <si>
    <t>AF 1506</t>
  </si>
  <si>
    <t>1 x 76090</t>
  </si>
  <si>
    <t>AF 1756</t>
  </si>
  <si>
    <t>AF 2006</t>
  </si>
  <si>
    <t>1 x 51140</t>
  </si>
  <si>
    <t>AF 2406</t>
  </si>
  <si>
    <t>1 x 75140</t>
  </si>
  <si>
    <t>HF 4000</t>
  </si>
  <si>
    <t>16", Sch.20</t>
  </si>
  <si>
    <t>2 x 51140</t>
  </si>
  <si>
    <t>HF 5000</t>
  </si>
  <si>
    <t>2 x 75140</t>
  </si>
  <si>
    <t>HF 6000</t>
  </si>
  <si>
    <t>3 x 51140</t>
  </si>
  <si>
    <t>HF 8000</t>
  </si>
  <si>
    <t>3 x 75140</t>
  </si>
  <si>
    <t>HF 10000</t>
  </si>
  <si>
    <t>18", Sch.20</t>
  </si>
  <si>
    <t>4 x 75140</t>
  </si>
  <si>
    <t>HF 12000</t>
  </si>
  <si>
    <t>24", Sch.20</t>
  </si>
  <si>
    <t>6 x 51140</t>
  </si>
  <si>
    <t>HF 14000</t>
  </si>
  <si>
    <t>7 x 51140</t>
  </si>
  <si>
    <t>HF 16000</t>
  </si>
  <si>
    <t>6 x 75140</t>
  </si>
  <si>
    <t>HF 18000</t>
  </si>
  <si>
    <t>9 x 51140</t>
  </si>
  <si>
    <t>HF 22000</t>
  </si>
  <si>
    <t>8 x 75140</t>
  </si>
  <si>
    <t>HF 24000</t>
  </si>
  <si>
    <t>9 x 75140</t>
  </si>
  <si>
    <t>Filter Type for pre-filter</t>
  </si>
  <si>
    <t>Filter Type for after-filter</t>
  </si>
  <si>
    <t>Table 2 - Solid particle classes Based On ISO-8573</t>
  </si>
  <si>
    <t>class</t>
  </si>
  <si>
    <t>Partical Size (ɥm)</t>
  </si>
  <si>
    <t>≤ 0.1</t>
  </si>
  <si>
    <t>As specified by the equipment user or supplier and more stringent than class 1</t>
  </si>
  <si>
    <t>Not applicable</t>
  </si>
  <si>
    <t>Not Specified</t>
  </si>
  <si>
    <t>Not Applicable</t>
  </si>
  <si>
    <t>≤ 5</t>
  </si>
  <si>
    <t>≤ 40</t>
  </si>
  <si>
    <t>≤ 10</t>
  </si>
  <si>
    <t>Table 5 - Oil Classes Based On ISO-8573</t>
  </si>
  <si>
    <t>≤ 0.01</t>
  </si>
  <si>
    <t>≤ 1</t>
  </si>
  <si>
    <t>FILTER ELEMENTS (OMEGA)</t>
  </si>
  <si>
    <t>B
sintered
15 μm</t>
  </si>
  <si>
    <t>P
prefilter
3 μm</t>
  </si>
  <si>
    <t>R
prefilter
1 μm</t>
  </si>
  <si>
    <t>M
microfilter
0.1 μm</t>
  </si>
  <si>
    <t>S
microfilter
0.01 μm</t>
  </si>
  <si>
    <t>A
activated
carbon</t>
  </si>
  <si>
    <t>Quality Class Solids</t>
  </si>
  <si>
    <t>Quality Class Oils</t>
  </si>
  <si>
    <t>0/1</t>
  </si>
  <si>
    <t>Pressure Drop new element [mbar / psi]</t>
  </si>
  <si>
    <t>20 / 0.29</t>
  </si>
  <si>
    <t>10 / 0.145</t>
  </si>
  <si>
    <t>20 / 0.290</t>
  </si>
  <si>
    <t>50 / 0.725</t>
  </si>
  <si>
    <t>80 / 1.160</t>
  </si>
  <si>
    <t>60 / 0.870</t>
  </si>
  <si>
    <t>See Spec.</t>
  </si>
  <si>
    <t>&lt; 50 / 0.725</t>
  </si>
  <si>
    <t>Change filter cartridge at pressure drop
 [mbar / psi]</t>
  </si>
  <si>
    <t>1)</t>
  </si>
  <si>
    <t>350 / 5,07</t>
  </si>
  <si>
    <t>1) B filter element can be cleaned with ultrasonic bath or with back flushing. Intervals of cleaning depends of application. If necessary replace filter element with new one.</t>
  </si>
  <si>
    <t>3) Valid if ''S'' filter cartridge is installed upstream.</t>
  </si>
  <si>
    <r>
      <t xml:space="preserve">Filter Selection Based on </t>
    </r>
    <r>
      <rPr>
        <b/>
        <u val="single"/>
        <sz val="18"/>
        <color rgb="FFFF0000"/>
        <rFont val="Calibri"/>
        <family val="2"/>
        <charset val="0"/>
        <scheme val="minor"/>
      </rPr>
      <t>OMEGA</t>
    </r>
    <r>
      <rPr>
        <b/>
        <sz val="18"/>
        <color theme="1"/>
        <rFont val="Calibri"/>
        <family val="2"/>
        <charset val="0"/>
        <scheme val="minor"/>
      </rPr>
      <t xml:space="preserve"> Catalog</t>
    </r>
  </si>
  <si>
    <r>
      <t>Max Oper. Pressure
(Bar/PSI) - Nm</t>
    </r>
    <r>
      <rPr>
        <b/>
        <vertAlign val="superscript"/>
        <sz val="11"/>
        <color theme="0"/>
        <rFont val="Calibri"/>
        <family val="2"/>
        <charset val="0"/>
        <scheme val="minor"/>
      </rPr>
      <t>3</t>
    </r>
    <r>
      <rPr>
        <b/>
        <sz val="11"/>
        <color theme="0"/>
        <rFont val="Calibri"/>
        <family val="2"/>
        <charset val="0"/>
        <scheme val="minor"/>
      </rPr>
      <t>/hr</t>
    </r>
  </si>
  <si>
    <r>
      <t xml:space="preserve">Partical Size
</t>
    </r>
    <r>
      <rPr>
        <sz val="9"/>
        <color theme="1"/>
        <rFont val="Calibri"/>
        <family val="2"/>
        <charset val="0"/>
        <scheme val="minor"/>
      </rPr>
      <t>(ɥm)</t>
    </r>
  </si>
  <si>
    <r>
      <t>Concentration
(mg/m</t>
    </r>
    <r>
      <rPr>
        <vertAlign val="superscript"/>
        <sz val="9"/>
        <color theme="1"/>
        <rFont val="Calibri"/>
        <family val="2"/>
        <charset val="0"/>
        <scheme val="minor"/>
      </rPr>
      <t>3</t>
    </r>
    <r>
      <rPr>
        <sz val="8.5"/>
        <color theme="1"/>
        <rFont val="Calibri"/>
        <family val="2"/>
        <charset val="0"/>
        <scheme val="minor"/>
      </rPr>
      <t>)</t>
    </r>
  </si>
  <si>
    <r>
      <t/>
    </r>
    <r>
      <rPr>
        <sz val="9"/>
        <color theme="1"/>
        <rFont val="Calibri"/>
        <family val="2"/>
        <charset val="0"/>
        <scheme val="minor"/>
      </rPr>
      <t>≤ 0.1</t>
    </r>
  </si>
  <si>
    <r>
      <t xml:space="preserve">0.1 &lt; d </t>
    </r>
    <r>
      <rPr>
        <sz val="9"/>
        <color theme="1"/>
        <rFont val="Calibri"/>
        <family val="2"/>
        <charset val="0"/>
        <scheme val="minor"/>
      </rPr>
      <t>≤ 0.5</t>
    </r>
  </si>
  <si>
    <r>
      <t xml:space="preserve">0.5 &lt; d </t>
    </r>
    <r>
      <rPr>
        <sz val="9"/>
        <color theme="1"/>
        <rFont val="Calibri"/>
        <family val="2"/>
        <charset val="0"/>
        <scheme val="minor"/>
      </rPr>
      <t>≤ 1</t>
    </r>
  </si>
  <si>
    <r>
      <t xml:space="preserve">1 &lt; d </t>
    </r>
    <r>
      <rPr>
        <sz val="9"/>
        <color theme="1"/>
        <rFont val="Calibri"/>
        <family val="2"/>
        <charset val="0"/>
        <scheme val="minor"/>
      </rPr>
      <t>≤ 5</t>
    </r>
  </si>
  <si>
    <r>
      <t/>
    </r>
    <r>
      <rPr>
        <sz val="11"/>
        <color theme="1"/>
        <rFont val="Calibri"/>
        <family val="2"/>
        <charset val="0"/>
        <scheme val="minor"/>
      </rPr>
      <t>≤ 5</t>
    </r>
  </si>
  <si>
    <r>
      <t>Concentration total oil (aerosol, liquid, and vapour) mg/m</t>
    </r>
    <r>
      <rPr>
        <vertAlign val="superscript"/>
        <sz val="10"/>
        <color theme="1"/>
        <rFont val="Calibri"/>
        <family val="2"/>
        <charset val="0"/>
      </rPr>
      <t>3</t>
    </r>
  </si>
  <si>
    <r>
      <t>A</t>
    </r>
    <r>
      <rPr>
        <b/>
        <vertAlign val="superscript"/>
        <sz val="9"/>
        <color theme="1"/>
        <rFont val="Calibri"/>
        <family val="2"/>
        <charset val="0"/>
        <scheme val="minor"/>
      </rPr>
      <t>2</t>
    </r>
    <r>
      <rPr>
        <b/>
        <sz val="9"/>
        <color theme="1"/>
        <rFont val="Calibri"/>
        <family val="2"/>
        <charset val="0"/>
        <scheme val="minor"/>
      </rPr>
      <t xml:space="preserve">
adsorption
(act. carbon)</t>
    </r>
  </si>
  <si>
    <r>
      <t>H</t>
    </r>
    <r>
      <rPr>
        <b/>
        <vertAlign val="superscript"/>
        <sz val="9"/>
        <color theme="1"/>
        <rFont val="Calibri"/>
        <family val="2"/>
        <charset val="0"/>
        <scheme val="minor"/>
      </rPr>
      <t>2</t>
    </r>
    <r>
      <rPr>
        <b/>
        <sz val="9"/>
        <color theme="1"/>
        <rFont val="Calibri"/>
        <family val="2"/>
        <charset val="0"/>
        <scheme val="minor"/>
      </rPr>
      <t xml:space="preserve">
catalyst
(hopcalite)</t>
    </r>
  </si>
  <si>
    <r>
      <t>MS</t>
    </r>
    <r>
      <rPr>
        <b/>
        <vertAlign val="superscript"/>
        <sz val="9"/>
        <color theme="1"/>
        <rFont val="Calibri"/>
        <family val="2"/>
        <charset val="0"/>
        <scheme val="minor"/>
      </rPr>
      <t>2</t>
    </r>
    <r>
      <rPr>
        <b/>
        <sz val="9"/>
        <color theme="1"/>
        <rFont val="Calibri"/>
        <family val="2"/>
        <charset val="0"/>
        <scheme val="minor"/>
      </rPr>
      <t xml:space="preserve">
molecular
sieve</t>
    </r>
  </si>
  <si>
    <r>
      <t>1</t>
    </r>
    <r>
      <rPr>
        <b/>
        <vertAlign val="superscript"/>
        <sz val="9"/>
        <color theme="1"/>
        <rFont val="Calibri"/>
        <family val="2"/>
        <charset val="0"/>
        <scheme val="minor"/>
      </rPr>
      <t>3)</t>
    </r>
  </si>
  <si>
    <r>
      <t xml:space="preserve">6 months </t>
    </r>
    <r>
      <rPr>
        <b/>
        <vertAlign val="superscript"/>
        <sz val="9"/>
        <color theme="1"/>
        <rFont val="Calibri"/>
        <family val="2"/>
        <charset val="0"/>
        <scheme val="minor"/>
      </rPr>
      <t>2)</t>
    </r>
  </si>
  <si>
    <r>
      <t>2) Filter elements ’’A, A</t>
    </r>
    <r>
      <rPr>
        <vertAlign val="superscript"/>
        <sz val="7"/>
        <color theme="1"/>
        <rFont val="Calibri"/>
        <family val="2"/>
        <charset val="0"/>
        <scheme val="minor"/>
      </rPr>
      <t>2</t>
    </r>
    <r>
      <rPr>
        <sz val="7"/>
        <color theme="1"/>
        <rFont val="Calibri"/>
        <family val="2"/>
        <charset val="0"/>
        <scheme val="minor"/>
      </rPr>
      <t>, H</t>
    </r>
    <r>
      <rPr>
        <vertAlign val="superscript"/>
        <sz val="7"/>
        <color theme="1"/>
        <rFont val="Calibri"/>
        <family val="2"/>
        <charset val="0"/>
        <scheme val="minor"/>
      </rPr>
      <t>2</t>
    </r>
    <r>
      <rPr>
        <sz val="7"/>
        <color theme="1"/>
        <rFont val="Calibri"/>
        <family val="2"/>
        <charset val="0"/>
        <scheme val="minor"/>
      </rPr>
      <t>’’, must be changed periodically to suit application, but at least every 6 months. Activated carbon filters must not operate in oil saturated conditions.</t>
    </r>
  </si>
  <si>
    <r>
      <t/>
    </r>
    <r>
      <rPr>
        <b/>
        <i/>
        <u val="single"/>
        <sz val="12"/>
        <color theme="0"/>
        <rFont val="Calibri"/>
        <family val="2"/>
        <charset val="0"/>
        <scheme val="minor"/>
      </rPr>
      <t>Pre-Filter</t>
    </r>
    <r>
      <rPr>
        <b/>
        <sz val="12"/>
        <color theme="0"/>
        <rFont val="Calibri"/>
        <family val="2"/>
        <charset val="0"/>
        <scheme val="minor"/>
      </rPr>
      <t xml:space="preserve"> </t>
    </r>
    <r>
      <rPr>
        <b/>
        <sz val="10"/>
        <color theme="0"/>
        <rFont val="Calibri"/>
        <family val="2"/>
        <charset val="0"/>
        <scheme val="minor"/>
      </rPr>
      <t>Element</t>
    </r>
    <r>
      <rPr>
        <b/>
        <sz val="12"/>
        <color theme="0"/>
        <rFont val="Calibri"/>
        <family val="2"/>
        <charset val="0"/>
        <scheme val="minor"/>
      </rPr>
      <t xml:space="preserve"> </t>
    </r>
  </si>
  <si>
    <r>
      <t/>
    </r>
    <r>
      <rPr>
        <b/>
        <i/>
        <u val="single"/>
        <sz val="12"/>
        <color theme="0"/>
        <rFont val="Calibri"/>
        <family val="2"/>
        <charset val="0"/>
        <scheme val="minor"/>
      </rPr>
      <t>Pre-Filter</t>
    </r>
    <r>
      <rPr>
        <b/>
        <sz val="12"/>
        <color theme="0"/>
        <rFont val="Calibri"/>
        <family val="2"/>
        <charset val="0"/>
        <scheme val="minor"/>
      </rPr>
      <t xml:space="preserve"> </t>
    </r>
    <r>
      <rPr>
        <b/>
        <sz val="10"/>
        <color theme="0"/>
        <rFont val="Calibri"/>
        <family val="2"/>
        <charset val="0"/>
        <scheme val="minor"/>
      </rPr>
      <t>type</t>
    </r>
  </si>
  <si>
    <r>
      <t/>
    </r>
    <r>
      <rPr>
        <b/>
        <i/>
        <u val="single"/>
        <sz val="12"/>
        <color theme="0"/>
        <rFont val="Calibri"/>
        <family val="2"/>
        <charset val="0"/>
        <scheme val="minor"/>
      </rPr>
      <t>After-Filter</t>
    </r>
    <r>
      <rPr>
        <b/>
        <sz val="12"/>
        <color theme="0"/>
        <rFont val="Calibri"/>
        <family val="2"/>
        <charset val="0"/>
        <scheme val="minor"/>
      </rPr>
      <t xml:space="preserve"> </t>
    </r>
    <r>
      <rPr>
        <b/>
        <sz val="10"/>
        <color theme="0"/>
        <rFont val="Calibri"/>
        <family val="2"/>
        <charset val="0"/>
        <scheme val="minor"/>
      </rPr>
      <t>Element</t>
    </r>
    <r>
      <rPr>
        <b/>
        <sz val="12"/>
        <color theme="0"/>
        <rFont val="Calibri"/>
        <family val="2"/>
        <charset val="0"/>
        <scheme val="minor"/>
      </rPr>
      <t xml:space="preserve"> </t>
    </r>
  </si>
  <si>
    <r>
      <t/>
    </r>
    <r>
      <rPr>
        <b/>
        <i/>
        <u val="single"/>
        <sz val="12"/>
        <color theme="0"/>
        <rFont val="Calibri"/>
        <family val="2"/>
        <charset val="0"/>
        <scheme val="minor"/>
      </rPr>
      <t>After-Filter</t>
    </r>
    <r>
      <rPr>
        <b/>
        <sz val="12"/>
        <color theme="0"/>
        <rFont val="Calibri"/>
        <family val="2"/>
        <charset val="0"/>
        <scheme val="minor"/>
      </rPr>
      <t xml:space="preserve"> </t>
    </r>
    <r>
      <rPr>
        <b/>
        <sz val="10"/>
        <color theme="0"/>
        <rFont val="Calibri"/>
        <family val="2"/>
        <charset val="0"/>
        <scheme val="minor"/>
      </rPr>
      <t>type</t>
    </r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</si>
</sst>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4" formatCode="0.000"/>
  </numFmts>
  <fonts count="36">
    <font>
      <sz val="11"/>
      <color theme="1"/>
      <name val="Calibri"/>
      <family val="2"/>
      <charset val="0"/>
      <scheme val="minor"/>
    </font>
    <font>
      <vertAlign val="superscript"/>
      <sz val="12"/>
      <color theme="1"/>
      <name val="Calibri"/>
      <family val="2"/>
      <charset val="0"/>
      <scheme val="minor"/>
    </font>
    <font>
      <i/>
      <sz val="10"/>
      <color rgb="FF0070C0"/>
      <name val="Calibri"/>
      <family val="2"/>
      <charset val="0"/>
      <scheme val="minor"/>
    </font>
    <font>
      <b/>
      <sz val="10"/>
      <color rgb="FFFF0000"/>
      <name val="Calibri"/>
      <family val="2"/>
      <charset val="0"/>
      <scheme val="minor"/>
    </font>
    <font>
      <sz val="11"/>
      <color theme="1"/>
      <name val="Calibri"/>
      <family val="2"/>
      <charset val="0"/>
      <scheme val="minor"/>
    </font>
    <font>
      <b/>
      <sz val="11"/>
      <color rgb="FF00B050"/>
      <name val="Calibri"/>
      <family val="2"/>
      <charset val="0"/>
      <scheme val="minor"/>
    </font>
    <font>
      <b/>
      <sz val="11"/>
      <color rgb="FFFF0000"/>
      <name val="Calibri"/>
      <family val="2"/>
      <charset val="0"/>
      <scheme val="minor"/>
    </font>
    <font>
      <b/>
      <i/>
      <sz val="11"/>
      <color theme="1"/>
      <name val="Calibri"/>
      <family val="2"/>
      <charset val="0"/>
      <scheme val="minor"/>
    </font>
    <font>
      <b/>
      <i/>
      <sz val="9"/>
      <color theme="1"/>
      <name val="Calibri"/>
      <family val="2"/>
      <charset val="0"/>
      <scheme val="minor"/>
    </font>
    <font>
      <sz val="9"/>
      <color theme="1"/>
      <name val="Calibri"/>
      <family val="2"/>
      <charset val="0"/>
      <scheme val="minor"/>
    </font>
    <font>
      <b/>
      <sz val="18"/>
      <color theme="1"/>
      <name val="Calibri"/>
      <family val="2"/>
      <charset val="0"/>
      <scheme val="minor"/>
    </font>
    <font>
      <b/>
      <u val="single"/>
      <sz val="18"/>
      <color rgb="FFFF0000"/>
      <name val="Calibri"/>
      <family val="2"/>
      <charset val="0"/>
      <scheme val="minor"/>
    </font>
    <font>
      <sz val="6"/>
      <color theme="1"/>
      <name val="Calibri"/>
      <family val="2"/>
      <charset val="0"/>
      <scheme val="minor"/>
    </font>
    <font>
      <b/>
      <sz val="11"/>
      <color theme="1"/>
      <name val="Calibri"/>
      <family val="2"/>
      <charset val="0"/>
      <scheme val="minor"/>
    </font>
    <font>
      <b/>
      <sz val="8"/>
      <color theme="1"/>
      <name val="Calibri"/>
      <family val="2"/>
      <charset val="0"/>
      <scheme val="minor"/>
    </font>
    <font>
      <b/>
      <sz val="9"/>
      <color theme="1"/>
      <name val="Calibri"/>
      <family val="2"/>
      <charset val="0"/>
      <scheme val="minor"/>
    </font>
    <font>
      <b/>
      <sz val="14"/>
      <color rgb="FF000000"/>
      <name val="Calibri"/>
      <family val="2"/>
      <charset val="0"/>
    </font>
    <font>
      <b/>
      <sz val="11"/>
      <color theme="0"/>
      <name val="Calibri"/>
      <family val="2"/>
      <charset val="0"/>
      <scheme val="minor"/>
    </font>
    <font>
      <b/>
      <sz val="12"/>
      <color rgb="FFFF0000"/>
      <name val="Calibri"/>
      <family val="2"/>
      <charset val="0"/>
      <scheme val="minor"/>
    </font>
    <font>
      <b/>
      <vertAlign val="superscript"/>
      <sz val="11"/>
      <color theme="0"/>
      <name val="Calibri"/>
      <family val="2"/>
      <charset val="0"/>
      <scheme val="minor"/>
    </font>
    <font>
      <sz val="10"/>
      <color theme="1"/>
      <name val="Calibri"/>
      <family val="2"/>
      <charset val="0"/>
      <scheme val="minor"/>
    </font>
    <font>
      <sz val="8.5"/>
      <color theme="1"/>
      <name val="Calibri"/>
      <family val="2"/>
      <charset val="0"/>
      <scheme val="minor"/>
    </font>
    <font>
      <vertAlign val="superscript"/>
      <sz val="9"/>
      <color theme="1"/>
      <name val="Calibri"/>
      <family val="2"/>
      <charset val="0"/>
      <scheme val="minor"/>
    </font>
    <font>
      <sz val="8"/>
      <color theme="1"/>
      <name val="Calibri"/>
      <family val="2"/>
      <charset val="0"/>
      <scheme val="minor"/>
    </font>
    <font>
      <vertAlign val="superscript"/>
      <sz val="10"/>
      <color theme="1"/>
      <name val="Calibri"/>
      <family val="2"/>
      <charset val="0"/>
    </font>
    <font>
      <b/>
      <sz val="14"/>
      <color theme="0"/>
      <name val="Calibri"/>
      <family val="2"/>
      <charset val="0"/>
      <scheme val="minor"/>
    </font>
    <font>
      <sz val="14"/>
      <color theme="0"/>
      <name val="Calibri"/>
      <family val="2"/>
      <charset val="0"/>
      <scheme val="minor"/>
    </font>
    <font>
      <b/>
      <vertAlign val="superscript"/>
      <sz val="9"/>
      <color theme="1"/>
      <name val="Calibri"/>
      <family val="2"/>
      <charset val="0"/>
      <scheme val="minor"/>
    </font>
    <font>
      <sz val="7"/>
      <color theme="1"/>
      <name val="Calibri"/>
      <family val="2"/>
      <charset val="0"/>
      <scheme val="minor"/>
    </font>
    <font>
      <vertAlign val="superscript"/>
      <sz val="7"/>
      <color theme="1"/>
      <name val="Calibri"/>
      <family val="2"/>
      <charset val="0"/>
      <scheme val="minor"/>
    </font>
    <font>
      <b/>
      <sz val="12"/>
      <color theme="0"/>
      <name val="Calibri"/>
      <family val="2"/>
      <charset val="0"/>
      <scheme val="minor"/>
    </font>
    <font>
      <b/>
      <i/>
      <u val="single"/>
      <sz val="12"/>
      <color theme="0"/>
      <name val="Calibri"/>
      <family val="2"/>
      <charset val="0"/>
      <scheme val="minor"/>
    </font>
    <font>
      <b/>
      <sz val="10"/>
      <color theme="0"/>
      <name val="Calibri"/>
      <family val="2"/>
      <charset val="0"/>
      <scheme val="minor"/>
    </font>
    <font>
      <b/>
      <sz val="9"/>
      <color rgb="FF00B050"/>
      <name val="Calibri"/>
      <family val="2"/>
      <charset val="0"/>
      <scheme val="minor"/>
    </font>
    <font>
      <b/>
      <sz val="12"/>
      <color rgb="FF00B050"/>
      <name val="Calibri"/>
      <family val="2"/>
      <charset val="0"/>
      <scheme val="minor"/>
    </font>
    <font>
      <sz val="14"/>
      <color rgb="FF000000"/>
      <name val="Calibri"/>
      <family val="2"/>
      <charset val="0"/>
    </font>
  </fonts>
  <fills count="14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CC6600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rgb="FF7030A0"/>
        <bgColor indexed="64"/>
      </patternFill>
    </fill>
  </fills>
  <borders count="7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195">
    <xf numFmtId="0" fontId="0" fillId="0" borderId="0"/>
  </cellStyleXfs>
  <cellXfs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2" borderId="0" xfId="0" applyFill="1"/>
    <xf numFmtId="1" fontId="0" fillId="2" borderId="1" xfId="0" applyAlignment="1" applyBorder="1" applyNumberFormat="1" applyFill="1">
      <alignment horizontal="center" vertical="center"/>
    </xf>
    <xf numFmtId="1" fontId="0" fillId="2" borderId="2" xfId="0" applyAlignment="1" applyBorder="1" applyNumberFormat="1" applyFill="1">
      <alignment horizontal="center" vertical="center"/>
    </xf>
    <xf numFmtId="0" fontId="0" fillId="2" borderId="3" xfId="0" applyAlignment="1" applyBorder="1" applyFill="1">
      <alignment horizontal="center" vertical="center"/>
    </xf>
    <xf numFmtId="0" fontId="0" fillId="2" borderId="4" xfId="0" applyAlignment="1" applyBorder="1" applyFill="1">
      <alignment horizontal="center" vertical="center"/>
    </xf>
    <xf numFmtId="0" fontId="0" fillId="2" borderId="5" xfId="0" applyAlignment="1" applyBorder="1" applyFill="1">
      <alignment horizontal="center" vertical="center"/>
    </xf>
    <xf numFmtId="0" fontId="0" fillId="2" borderId="6" xfId="0" applyAlignment="1" applyBorder="1" applyFill="1">
      <alignment horizontal="center" vertical="center"/>
    </xf>
    <xf numFmtId="0" fontId="0" fillId="2" borderId="7" xfId="0" applyAlignment="1" applyBorder="1" applyFill="1">
      <alignment horizontal="center" vertical="center"/>
    </xf>
    <xf numFmtId="0" fontId="0" fillId="2" borderId="8" xfId="0" applyAlignment="1" applyBorder="1" applyFill="1">
      <alignment horizontal="center" vertical="center"/>
    </xf>
    <xf numFmtId="0" fontId="16" fillId="0" borderId="0" xfId="0" applyFont="1"/>
    <xf numFmtId="0" fontId="0" fillId="2" borderId="0" xfId="0" applyAlignment="1" applyFill="1">
      <alignment horizontal="center" vertical="center"/>
    </xf>
    <xf numFmtId="0" fontId="14" fillId="2" borderId="0" xfId="0" applyFont="1" applyFill="1"/>
    <xf numFmtId="164" fontId="0" fillId="0" borderId="0" xfId="0" applyAlignment="1" applyNumberFormat="1">
      <alignment horizontal="center" vertical="center"/>
    </xf>
    <xf numFmtId="3" fontId="12" fillId="0" borderId="0" xfId="0" applyFont="1" applyNumberFormat="1"/>
    <xf numFmtId="0" fontId="6" fillId="2" borderId="9" xfId="0" applyAlignment="1" applyBorder="1" applyFont="1" applyFill="1">
      <alignment horizontal="center" vertical="center"/>
    </xf>
    <xf numFmtId="0" fontId="5" fillId="2" borderId="2" xfId="0" applyAlignment="1" applyBorder="1" applyFont="1" applyFill="1">
      <alignment horizontal="center" vertical="center"/>
    </xf>
    <xf numFmtId="0" fontId="8" fillId="2" borderId="10" xfId="0" applyAlignment="1" applyBorder="1" applyFont="1" applyFill="1">
      <alignment horizontal="center" vertical="center"/>
    </xf>
    <xf numFmtId="0" fontId="0" fillId="0" borderId="10" xfId="0" applyAlignment="1" applyBorder="1">
      <alignment horizontal="center" vertical="center"/>
    </xf>
    <xf numFmtId="0" fontId="15" fillId="0" borderId="11" xfId="0" applyAlignment="1" applyBorder="1" applyFont="1">
      <alignment horizontal="center" vertical="center"/>
    </xf>
    <xf numFmtId="0" fontId="3" fillId="3" borderId="11" xfId="0" applyAlignment="1" applyBorder="1" applyFont="1" applyFill="1">
      <alignment horizontal="center" vertical="center"/>
    </xf>
    <xf numFmtId="0" fontId="15" fillId="0" borderId="12" xfId="0" applyAlignment="1" applyBorder="1" applyFont="1">
      <alignment horizontal="center" vertical="center"/>
    </xf>
    <xf numFmtId="0" fontId="3" fillId="3" borderId="13" xfId="0" applyAlignment="1" applyBorder="1" applyFont="1" applyFill="1">
      <alignment horizontal="center" vertical="center"/>
    </xf>
    <xf numFmtId="0" fontId="0" fillId="0" borderId="14" xfId="0" applyAlignment="1" applyBorder="1">
      <alignment horizontal="center" vertical="center"/>
    </xf>
    <xf numFmtId="0" fontId="13" fillId="0" borderId="14" xfId="0" applyAlignment="1" applyBorder="1" applyFont="1">
      <alignment horizontal="center" vertical="center"/>
    </xf>
    <xf numFmtId="0" fontId="0" fillId="2" borderId="15" xfId="0" applyAlignment="1" applyBorder="1" applyFill="1">
      <alignment horizontal="center" vertical="center"/>
    </xf>
    <xf numFmtId="0" fontId="0" fillId="2" borderId="16" xfId="0" applyAlignment="1" applyBorder="1" applyFill="1">
      <alignment horizontal="center" vertical="center"/>
    </xf>
    <xf numFmtId="0" fontId="7" fillId="2" borderId="0" xfId="0" applyFont="1" applyFill="1"/>
    <xf numFmtId="0" fontId="8" fillId="2" borderId="11" xfId="0" applyAlignment="1" applyBorder="1" applyFont="1" applyFill="1">
      <alignment horizontal="center" vertical="center"/>
    </xf>
    <xf numFmtId="0" fontId="20" fillId="2" borderId="3" xfId="0" applyAlignment="1" applyBorder="1" applyFont="1" applyFill="1">
      <alignment horizontal="center" vertical="center"/>
    </xf>
    <xf numFmtId="0" fontId="20" fillId="2" borderId="8" xfId="0" applyAlignment="1" applyBorder="1" applyFont="1" applyFill="1">
      <alignment horizontal="center"/>
    </xf>
    <xf numFmtId="0" fontId="20" fillId="2" borderId="1" xfId="0" applyAlignment="1" applyBorder="1" applyFont="1" applyFill="1">
      <alignment horizontal="center" vertical="center"/>
    </xf>
    <xf numFmtId="0" fontId="20" fillId="2" borderId="16" xfId="0" applyAlignment="1" applyBorder="1" applyFont="1" applyFill="1">
      <alignment horizontal="center"/>
    </xf>
    <xf numFmtId="0" fontId="20" fillId="2" borderId="4" xfId="0" applyAlignment="1" applyBorder="1" applyFont="1" applyFill="1">
      <alignment horizontal="center" vertical="center"/>
    </xf>
    <xf numFmtId="0" fontId="20" fillId="2" borderId="17" xfId="0" applyAlignment="1" applyBorder="1" applyFont="1" applyFill="1">
      <alignment horizontal="center"/>
    </xf>
    <xf numFmtId="0" fontId="20" fillId="2" borderId="18" xfId="0" applyAlignment="1" applyBorder="1" applyFont="1" applyFill="1">
      <alignment horizontal="center"/>
    </xf>
    <xf numFmtId="0" fontId="20" fillId="2" borderId="2" xfId="0" applyAlignment="1" applyBorder="1" applyFont="1" applyFill="1">
      <alignment horizontal="center"/>
    </xf>
    <xf numFmtId="0" fontId="20" fillId="2" borderId="6" xfId="0" applyAlignment="1" applyBorder="1" applyFont="1" applyFill="1">
      <alignment horizontal="center"/>
    </xf>
    <xf numFmtId="164" fontId="9" fillId="2" borderId="11" xfId="0" applyAlignment="1" applyBorder="1" applyFont="1" applyNumberFormat="1" applyFill="1">
      <alignment horizontal="center" vertical="center"/>
    </xf>
    <xf numFmtId="164" fontId="0" fillId="2" borderId="3" xfId="0" applyAlignment="1" applyBorder="1" applyNumberFormat="1" applyFill="1">
      <alignment horizontal="center" vertical="center"/>
    </xf>
    <xf numFmtId="164" fontId="0" fillId="2" borderId="4" xfId="0" applyAlignment="1" applyBorder="1" applyNumberFormat="1" applyFill="1">
      <alignment horizontal="center" vertical="center"/>
    </xf>
    <xf numFmtId="0" fontId="6" fillId="4" borderId="11" xfId="0" applyAlignment="1" applyBorder="1" applyFont="1" applyFill="1">
      <alignment horizontal="center" vertical="center"/>
    </xf>
    <xf numFmtId="0" fontId="0" fillId="0" borderId="19" xfId="0" applyBorder="1"/>
    <xf numFmtId="0" fontId="6" fillId="0" borderId="0" xfId="0" applyAlignment="1" applyFont="1">
      <alignment horizontal="center" vertical="center"/>
    </xf>
    <xf numFmtId="0" fontId="18" fillId="0" borderId="0" xfId="0" applyAlignment="1" applyFont="1">
      <alignment horizontal="center" vertical="center"/>
    </xf>
    <xf numFmtId="0" fontId="0" fillId="0" borderId="20" xfId="0" applyBorder="1"/>
    <xf numFmtId="0" fontId="9" fillId="4" borderId="21" xfId="0" applyAlignment="1" applyBorder="1" applyFont="1" applyFill="1">
      <alignment horizontal="center" vertical="center"/>
    </xf>
    <xf numFmtId="0" fontId="23" fillId="0" borderId="1" xfId="0" applyAlignment="1" applyBorder="1" applyFont="1">
      <alignment horizontal="center" vertical="center"/>
    </xf>
    <xf numFmtId="0" fontId="20" fillId="0" borderId="1" xfId="0" applyAlignment="1" applyBorder="1" applyFont="1">
      <alignment horizontal="center" vertical="center"/>
    </xf>
    <xf numFmtId="3" fontId="20" fillId="0" borderId="1" xfId="0" applyAlignment="1" applyBorder="1" applyFont="1" applyNumberFormat="1">
      <alignment horizontal="center" vertical="center"/>
    </xf>
    <xf numFmtId="0" fontId="15" fillId="5" borderId="22" xfId="0" applyAlignment="1" applyBorder="1" applyFont="1" applyFill="1">
      <alignment horizontal="center" vertical="center" wrapText="1"/>
    </xf>
    <xf numFmtId="0" fontId="15" fillId="6" borderId="22" xfId="0" applyAlignment="1" applyBorder="1" applyFont="1" applyFill="1">
      <alignment horizontal="center" vertical="center" wrapText="1"/>
    </xf>
    <xf numFmtId="0" fontId="15" fillId="7" borderId="22" xfId="0" applyAlignment="1" applyBorder="1" applyFont="1" applyFill="1">
      <alignment horizontal="center" vertical="center" wrapText="1"/>
    </xf>
    <xf numFmtId="0" fontId="15" fillId="8" borderId="22" xfId="0" applyAlignment="1" applyBorder="1" applyFont="1" applyFill="1">
      <alignment horizontal="center" vertical="center" wrapText="1"/>
    </xf>
    <xf numFmtId="0" fontId="15" fillId="9" borderId="22" xfId="0" applyAlignment="1" applyBorder="1" applyFont="1" applyFill="1">
      <alignment horizontal="center" vertical="center" wrapText="1"/>
    </xf>
    <xf numFmtId="0" fontId="15" fillId="10" borderId="23" xfId="0" applyAlignment="1" applyBorder="1" applyFont="1" applyFill="1">
      <alignment horizontal="center" vertical="center" wrapText="1"/>
    </xf>
    <xf numFmtId="0" fontId="15" fillId="2" borderId="22" xfId="0" applyAlignment="1" applyBorder="1" applyFont="1" applyFill="1">
      <alignment horizontal="center" vertical="center" wrapText="1"/>
    </xf>
    <xf numFmtId="0" fontId="15" fillId="11" borderId="22" xfId="0" applyAlignment="1" applyBorder="1" applyFont="1" applyFill="1">
      <alignment horizontal="center" vertical="center" wrapText="1"/>
    </xf>
    <xf numFmtId="0" fontId="15" fillId="12" borderId="22" xfId="0" applyAlignment="1" applyBorder="1" applyFont="1" applyFill="1">
      <alignment horizontal="center" vertical="center" wrapText="1"/>
    </xf>
    <xf numFmtId="0" fontId="14" fillId="0" borderId="24" xfId="0" applyAlignment="1" applyBorder="1" applyFont="1">
      <alignment horizontal="center" vertical="center" wrapText="1"/>
    </xf>
    <xf numFmtId="0" fontId="15" fillId="0" borderId="25" xfId="0" applyAlignment="1" applyBorder="1" applyFont="1">
      <alignment horizontal="center" vertical="center"/>
    </xf>
    <xf numFmtId="0" fontId="15" fillId="0" borderId="26" xfId="0" applyAlignment="1" applyBorder="1" applyFont="1">
      <alignment horizontal="center" vertical="center"/>
    </xf>
    <xf numFmtId="0" fontId="14" fillId="0" borderId="27" xfId="0" applyAlignment="1" applyBorder="1" applyFont="1">
      <alignment horizontal="center" vertical="center" wrapText="1"/>
    </xf>
    <xf numFmtId="0" fontId="15" fillId="0" borderId="1" xfId="0" applyAlignment="1" applyBorder="1" applyFont="1">
      <alignment horizontal="center" vertical="center"/>
    </xf>
    <xf numFmtId="0" fontId="15" fillId="0" borderId="28" xfId="0" applyAlignment="1" applyBorder="1" applyFont="1">
      <alignment horizontal="center" vertical="center"/>
    </xf>
    <xf numFmtId="0" fontId="14" fillId="0" borderId="29" xfId="0" applyAlignment="1" applyBorder="1" applyFont="1">
      <alignment horizontal="center" vertical="center" wrapText="1"/>
    </xf>
    <xf numFmtId="0" fontId="27" fillId="0" borderId="30" xfId="0" applyAlignment="1" applyBorder="1" applyFont="1">
      <alignment horizontal="center" vertical="center"/>
    </xf>
    <xf numFmtId="0" fontId="15" fillId="0" borderId="30" xfId="0" applyAlignment="1" applyBorder="1" applyFont="1">
      <alignment horizontal="center" vertical="center"/>
    </xf>
    <xf numFmtId="0" fontId="15" fillId="0" borderId="31" xfId="0" applyAlignment="1" applyBorder="1" applyFont="1">
      <alignment horizontal="center" vertical="center"/>
    </xf>
    <xf numFmtId="0" fontId="14" fillId="0" borderId="0" xfId="0" applyAlignment="1" applyFont="1">
      <alignment horizontal="center" vertical="center" wrapText="1"/>
    </xf>
    <xf numFmtId="0" fontId="27" fillId="0" borderId="0" xfId="0" applyAlignment="1" applyFont="1">
      <alignment horizontal="center" vertical="center"/>
    </xf>
    <xf numFmtId="0" fontId="15" fillId="0" borderId="0" xfId="0" applyAlignment="1" applyFont="1">
      <alignment horizontal="center" vertical="center"/>
    </xf>
    <xf numFmtId="0" fontId="34" fillId="0" borderId="0" xfId="0" applyAlignment="1" applyFont="1">
      <alignment vertical="center"/>
    </xf>
    <xf numFmtId="0" fontId="33" fillId="4" borderId="11" xfId="0" applyAlignment="1" applyBorder="1" applyFont="1" applyFill="1">
      <alignment horizontal="center" vertical="center"/>
    </xf>
    <xf numFmtId="0" fontId="30" fillId="9" borderId="32" xfId="0" applyAlignment="1" applyBorder="1" applyFont="1" applyFill="1">
      <alignment horizontal="center" vertical="center"/>
    </xf>
    <xf numFmtId="0" fontId="30" fillId="9" borderId="10" xfId="0" applyAlignment="1" applyBorder="1" applyFont="1" applyFill="1">
      <alignment horizontal="center" vertical="center"/>
    </xf>
    <xf numFmtId="0" fontId="33" fillId="4" borderId="32" xfId="0" applyAlignment="1" applyBorder="1" applyFont="1" applyFill="1">
      <alignment horizontal="center" vertical="center"/>
    </xf>
    <xf numFmtId="0" fontId="33" fillId="4" borderId="33" xfId="0" applyAlignment="1" applyBorder="1" applyFont="1" applyFill="1">
      <alignment horizontal="center" vertical="center"/>
    </xf>
    <xf numFmtId="0" fontId="33" fillId="4" borderId="10" xfId="0" applyAlignment="1" applyBorder="1" applyFont="1" applyFill="1">
      <alignment horizontal="center" vertical="center"/>
    </xf>
    <xf numFmtId="0" fontId="30" fillId="9" borderId="34" xfId="0" applyAlignment="1" applyBorder="1" applyFont="1" applyFill="1">
      <alignment horizontal="center" vertical="center"/>
    </xf>
    <xf numFmtId="0" fontId="30" fillId="9" borderId="35" xfId="0" applyAlignment="1" applyBorder="1" applyFont="1" applyFill="1">
      <alignment horizontal="center" vertical="center"/>
    </xf>
    <xf numFmtId="0" fontId="0" fillId="0" borderId="36" xfId="0" applyAlignment="1" applyBorder="1">
      <alignment horizontal="center" vertical="center"/>
    </xf>
    <xf numFmtId="0" fontId="0" fillId="0" borderId="37" xfId="0" applyAlignment="1" applyBorder="1">
      <alignment horizontal="center" vertical="center"/>
    </xf>
    <xf numFmtId="0" fontId="13" fillId="0" borderId="38" xfId="0" applyAlignment="1" applyBorder="1" applyFont="1">
      <alignment horizontal="center" vertical="center"/>
    </xf>
    <xf numFmtId="0" fontId="13" fillId="0" borderId="30" xfId="0" applyAlignment="1" applyBorder="1" applyFont="1">
      <alignment horizontal="center" vertical="center"/>
    </xf>
    <xf numFmtId="0" fontId="13" fillId="0" borderId="31" xfId="0" applyAlignment="1" applyBorder="1" applyFont="1">
      <alignment horizontal="center" vertical="center"/>
    </xf>
    <xf numFmtId="0" fontId="25" fillId="13" borderId="39" xfId="0" applyAlignment="1" applyBorder="1" applyFont="1" applyFill="1">
      <alignment horizontal="center"/>
    </xf>
    <xf numFmtId="0" fontId="26" fillId="13" borderId="40" xfId="0" applyAlignment="1" applyBorder="1" applyFont="1" applyFill="1">
      <alignment horizontal="center"/>
    </xf>
    <xf numFmtId="0" fontId="26" fillId="13" borderId="41" xfId="0" applyAlignment="1" applyBorder="1" applyFont="1" applyFill="1">
      <alignment horizontal="center"/>
    </xf>
    <xf numFmtId="0" fontId="28" fillId="0" borderId="0" xfId="0" applyAlignment="1" applyFont="1">
      <alignment horizontal="left" vertical="center" wrapText="1"/>
    </xf>
    <xf numFmtId="0" fontId="28" fillId="0" borderId="0" xfId="0" applyAlignment="1" applyFont="1">
      <alignment horizontal="left" vertical="center"/>
    </xf>
    <xf numFmtId="0" fontId="30" fillId="9" borderId="42" xfId="0" applyAlignment="1" applyBorder="1" applyFont="1" applyFill="1">
      <alignment horizontal="center" vertical="center"/>
    </xf>
    <xf numFmtId="0" fontId="0" fillId="4" borderId="43" xfId="0" applyAlignment="1" applyBorder="1" applyFill="1">
      <alignment horizontal="center" vertical="center"/>
    </xf>
    <xf numFmtId="0" fontId="0" fillId="4" borderId="17" xfId="0" applyAlignment="1" applyBorder="1" applyFill="1">
      <alignment horizontal="center" vertical="center"/>
    </xf>
    <xf numFmtId="0" fontId="20" fillId="4" borderId="44" xfId="0" applyAlignment="1" applyBorder="1" applyFont="1" applyFill="1">
      <alignment horizontal="center" vertical="center"/>
    </xf>
    <xf numFmtId="0" fontId="20" fillId="4" borderId="45" xfId="0" applyAlignment="1" applyBorder="1" applyFont="1" applyFill="1">
      <alignment horizontal="center" vertical="center"/>
    </xf>
    <xf numFmtId="0" fontId="20" fillId="4" borderId="23" xfId="0" applyAlignment="1" applyBorder="1" applyFont="1" applyFill="1">
      <alignment horizontal="center" vertical="center"/>
    </xf>
    <xf numFmtId="0" fontId="0" fillId="0" borderId="46" xfId="0" applyAlignment="1" applyBorder="1">
      <alignment horizontal="center" vertical="center"/>
    </xf>
    <xf numFmtId="0" fontId="0" fillId="0" borderId="47" xfId="0" applyAlignment="1" applyBorder="1">
      <alignment horizontal="center" vertical="center"/>
    </xf>
    <xf numFmtId="0" fontId="20" fillId="0" borderId="7" xfId="0" applyAlignment="1" applyBorder="1" applyFont="1">
      <alignment horizontal="center" vertical="center" wrapText="1"/>
    </xf>
    <xf numFmtId="0" fontId="20" fillId="0" borderId="3" xfId="0" applyAlignment="1" applyBorder="1" applyFont="1">
      <alignment horizontal="center" vertical="center" wrapText="1"/>
    </xf>
    <xf numFmtId="0" fontId="20" fillId="0" borderId="48" xfId="0" applyAlignment="1" applyBorder="1" applyFont="1">
      <alignment horizontal="center" vertical="center" wrapText="1"/>
    </xf>
    <xf numFmtId="0" fontId="0" fillId="0" borderId="49" xfId="0" applyAlignment="1" applyBorder="1">
      <alignment horizontal="center" vertical="center"/>
    </xf>
    <xf numFmtId="0" fontId="0" fillId="0" borderId="50" xfId="0" applyAlignment="1" applyBorder="1">
      <alignment horizontal="center" vertical="center"/>
    </xf>
    <xf numFmtId="0" fontId="13" fillId="0" borderId="9" xfId="0" applyAlignment="1" applyBorder="1" applyFont="1">
      <alignment horizontal="center" vertical="center"/>
    </xf>
    <xf numFmtId="0" fontId="13" fillId="0" borderId="1" xfId="0" applyAlignment="1" applyBorder="1" applyFont="1">
      <alignment horizontal="center" vertical="center"/>
    </xf>
    <xf numFmtId="0" fontId="13" fillId="0" borderId="28" xfId="0" applyAlignment="1" applyBorder="1" applyFont="1">
      <alignment horizontal="center" vertical="center"/>
    </xf>
    <xf numFmtId="0" fontId="0" fillId="0" borderId="1" xfId="0" applyAlignment="1" applyBorder="1">
      <alignment horizontal="center" vertical="center"/>
    </xf>
    <xf numFmtId="0" fontId="9" fillId="0" borderId="50" xfId="0" applyAlignment="1" applyBorder="1" applyFont="1">
      <alignment horizontal="left" vertical="center"/>
    </xf>
    <xf numFmtId="0" fontId="9" fillId="0" borderId="51" xfId="0" applyAlignment="1" applyBorder="1" applyFont="1">
      <alignment horizontal="left" vertical="center"/>
    </xf>
    <xf numFmtId="0" fontId="9" fillId="0" borderId="49" xfId="0" applyAlignment="1" applyBorder="1" applyFont="1">
      <alignment horizontal="left" vertical="center"/>
    </xf>
    <xf numFmtId="0" fontId="0" fillId="0" borderId="50" xfId="0" applyAlignment="1" applyBorder="1" applyFont="1">
      <alignment horizontal="center" vertical="center"/>
    </xf>
    <xf numFmtId="0" fontId="0" fillId="0" borderId="52" xfId="0" applyAlignment="1" applyBorder="1" applyFont="1">
      <alignment horizontal="center" vertical="center"/>
    </xf>
    <xf numFmtId="0" fontId="0" fillId="0" borderId="30" xfId="0" applyAlignment="1" applyBorder="1">
      <alignment horizontal="center" vertical="center"/>
    </xf>
    <xf numFmtId="0" fontId="9" fillId="0" borderId="37" xfId="0" applyAlignment="1" applyBorder="1" applyFont="1">
      <alignment horizontal="left" vertical="center"/>
    </xf>
    <xf numFmtId="0" fontId="9" fillId="0" borderId="53" xfId="0" applyAlignment="1" applyBorder="1" applyFont="1">
      <alignment horizontal="left" vertical="center"/>
    </xf>
    <xf numFmtId="0" fontId="9" fillId="0" borderId="36" xfId="0" applyAlignment="1" applyBorder="1" applyFont="1">
      <alignment horizontal="left" vertical="center"/>
    </xf>
    <xf numFmtId="0" fontId="0" fillId="0" borderId="37" xfId="0" applyAlignment="1" applyBorder="1" applyFont="1">
      <alignment horizontal="center" vertical="center"/>
    </xf>
    <xf numFmtId="0" fontId="0" fillId="0" borderId="36" xfId="0" applyAlignment="1" applyBorder="1" applyFont="1">
      <alignment horizontal="center" vertical="center"/>
    </xf>
    <xf numFmtId="0" fontId="0" fillId="0" borderId="54" xfId="0" applyAlignment="1" applyBorder="1" applyFont="1">
      <alignment horizontal="center" vertical="center"/>
    </xf>
    <xf numFmtId="0" fontId="18" fillId="6" borderId="39" xfId="0" applyAlignment="1" applyBorder="1" applyFont="1" applyFill="1">
      <alignment horizontal="center"/>
    </xf>
    <xf numFmtId="0" fontId="18" fillId="6" borderId="40" xfId="0" applyAlignment="1" applyBorder="1" applyFont="1" applyFill="1">
      <alignment horizontal="center"/>
    </xf>
    <xf numFmtId="0" fontId="18" fillId="6" borderId="41" xfId="0" applyAlignment="1" applyBorder="1" applyFont="1" applyFill="1">
      <alignment horizontal="center"/>
    </xf>
    <xf numFmtId="0" fontId="0" fillId="0" borderId="55" xfId="0" applyAlignment="1" applyBorder="1">
      <alignment horizontal="center" vertical="center"/>
    </xf>
    <xf numFmtId="0" fontId="0" fillId="0" borderId="15" xfId="0" applyAlignment="1" applyBorder="1">
      <alignment horizontal="center" vertical="center"/>
    </xf>
    <xf numFmtId="0" fontId="23" fillId="0" borderId="56" xfId="0" applyAlignment="1" applyBorder="1" applyFont="1">
      <alignment horizontal="left" vertical="center" wrapText="1"/>
    </xf>
    <xf numFmtId="0" fontId="23" fillId="0" borderId="0" xfId="0" applyAlignment="1" applyFont="1">
      <alignment horizontal="left" vertical="center" wrapText="1"/>
    </xf>
    <xf numFmtId="0" fontId="23" fillId="0" borderId="57" xfId="0" applyAlignment="1" applyBorder="1" applyFont="1">
      <alignment horizontal="left" vertical="center" wrapText="1"/>
    </xf>
    <xf numFmtId="0" fontId="23" fillId="0" borderId="58" xfId="0" applyAlignment="1" applyBorder="1" applyFont="1">
      <alignment horizontal="left" vertical="center" wrapText="1"/>
    </xf>
    <xf numFmtId="0" fontId="23" fillId="0" borderId="59" xfId="0" applyAlignment="1" applyBorder="1" applyFont="1">
      <alignment horizontal="left" vertical="center" wrapText="1"/>
    </xf>
    <xf numFmtId="0" fontId="23" fillId="0" borderId="55" xfId="0" applyAlignment="1" applyBorder="1" applyFont="1">
      <alignment horizontal="left" vertical="center" wrapText="1"/>
    </xf>
    <xf numFmtId="0" fontId="20" fillId="0" borderId="56" xfId="0" applyAlignment="1" applyBorder="1" applyFont="1">
      <alignment horizontal="center" vertical="center" wrapText="1"/>
    </xf>
    <xf numFmtId="0" fontId="20" fillId="0" borderId="57" xfId="0" applyAlignment="1" applyBorder="1" applyFont="1">
      <alignment horizontal="center" vertical="center" wrapText="1"/>
    </xf>
    <xf numFmtId="0" fontId="20" fillId="0" borderId="58" xfId="0" applyAlignment="1" applyBorder="1" applyFont="1">
      <alignment horizontal="center" vertical="center" wrapText="1"/>
    </xf>
    <xf numFmtId="0" fontId="20" fillId="0" borderId="55" xfId="0" applyAlignment="1" applyBorder="1" applyFont="1">
      <alignment horizontal="center" vertical="center" wrapText="1"/>
    </xf>
    <xf numFmtId="0" fontId="20" fillId="0" borderId="20" xfId="0" applyAlignment="1" applyBorder="1" applyFont="1">
      <alignment horizontal="center" vertical="center" wrapText="1"/>
    </xf>
    <xf numFmtId="0" fontId="20" fillId="0" borderId="60" xfId="0" applyAlignment="1" applyBorder="1" applyFont="1">
      <alignment horizontal="center" vertical="center" wrapText="1"/>
    </xf>
    <xf numFmtId="0" fontId="0" fillId="2" borderId="4" xfId="0" applyAlignment="1" applyBorder="1" applyFill="1">
      <alignment horizontal="center"/>
    </xf>
    <xf numFmtId="0" fontId="0" fillId="2" borderId="61" xfId="0" applyAlignment="1" applyBorder="1" applyFill="1">
      <alignment horizontal="center"/>
    </xf>
    <xf numFmtId="0" fontId="0" fillId="2" borderId="34" xfId="0" applyAlignment="1" applyBorder="1" applyFill="1">
      <alignment horizontal="left" vertical="center"/>
    </xf>
    <xf numFmtId="0" fontId="0" fillId="2" borderId="35" xfId="0" applyAlignment="1" applyBorder="1" applyFill="1">
      <alignment horizontal="left" vertical="center"/>
    </xf>
    <xf numFmtId="0" fontId="0" fillId="2" borderId="0" xfId="0" applyAlignment="1" applyFill="1">
      <alignment horizontal="center"/>
    </xf>
    <xf numFmtId="0" fontId="20" fillId="0" borderId="34" xfId="0" applyAlignment="1" applyBorder="1" applyFont="1">
      <alignment horizontal="left" vertical="center"/>
    </xf>
    <xf numFmtId="0" fontId="20" fillId="0" borderId="35" xfId="0" applyAlignment="1" applyBorder="1" applyFont="1">
      <alignment horizontal="left" vertical="center"/>
    </xf>
    <xf numFmtId="0" fontId="0" fillId="4" borderId="0" xfId="0" applyAlignment="1" applyFill="1">
      <alignment horizontal="center" vertical="center"/>
    </xf>
    <xf numFmtId="0" fontId="0" fillId="4" borderId="14" xfId="0" applyAlignment="1" applyBorder="1" applyFill="1">
      <alignment horizontal="center" vertical="center"/>
    </xf>
    <xf numFmtId="0" fontId="9" fillId="4" borderId="15" xfId="0" applyAlignment="1" applyBorder="1" applyFont="1" applyFill="1">
      <alignment horizontal="center" vertical="center" wrapText="1"/>
    </xf>
    <xf numFmtId="0" fontId="9" fillId="4" borderId="4" xfId="0" applyAlignment="1" applyBorder="1" applyFont="1" applyFill="1">
      <alignment horizontal="center" vertical="center" wrapText="1"/>
    </xf>
    <xf numFmtId="0" fontId="21" fillId="4" borderId="62" xfId="0" applyAlignment="1" applyBorder="1" applyFont="1" applyFill="1">
      <alignment horizontal="center" vertical="center" wrapText="1"/>
    </xf>
    <xf numFmtId="0" fontId="21" fillId="4" borderId="23" xfId="0" applyAlignment="1" applyBorder="1" applyFont="1" applyFill="1">
      <alignment horizontal="center" vertical="center" wrapText="1"/>
    </xf>
    <xf numFmtId="0" fontId="21" fillId="4" borderId="63" xfId="0" applyAlignment="1" applyBorder="1" applyFont="1" applyFill="1">
      <alignment horizontal="center" vertical="center" wrapText="1"/>
    </xf>
    <xf numFmtId="0" fontId="21" fillId="4" borderId="64" xfId="0" applyAlignment="1" applyBorder="1" applyFont="1" applyFill="1">
      <alignment horizontal="center" vertical="center" wrapText="1"/>
    </xf>
    <xf numFmtId="0" fontId="0" fillId="2" borderId="9" xfId="0" applyAlignment="1" applyBorder="1" applyFill="1">
      <alignment horizontal="center"/>
    </xf>
    <xf numFmtId="0" fontId="0" fillId="2" borderId="1" xfId="0" applyAlignment="1" applyBorder="1" applyFill="1">
      <alignment horizontal="center"/>
    </xf>
    <xf numFmtId="0" fontId="0" fillId="2" borderId="50" xfId="0" applyAlignment="1" applyBorder="1" applyFill="1">
      <alignment horizontal="center"/>
    </xf>
    <xf numFmtId="0" fontId="2" fillId="0" borderId="12" xfId="0" applyAlignment="1" applyBorder="1" applyFont="1">
      <alignment horizontal="center" vertical="center"/>
    </xf>
    <xf numFmtId="0" fontId="2" fillId="0" borderId="14" xfId="0" applyAlignment="1" applyBorder="1" applyFont="1">
      <alignment horizontal="center" vertical="center"/>
    </xf>
    <xf numFmtId="0" fontId="2" fillId="0" borderId="65" xfId="0" applyAlignment="1" applyBorder="1" applyFont="1">
      <alignment horizontal="center" vertical="center"/>
    </xf>
    <xf numFmtId="0" fontId="18" fillId="2" borderId="34" xfId="0" applyAlignment="1" applyBorder="1" applyFont="1" applyFill="1">
      <alignment horizontal="center" vertical="center"/>
    </xf>
    <xf numFmtId="0" fontId="18" fillId="2" borderId="66" xfId="0" applyAlignment="1" applyBorder="1" applyFont="1" applyFill="1">
      <alignment horizontal="center" vertical="center"/>
    </xf>
    <xf numFmtId="0" fontId="18" fillId="2" borderId="42" xfId="0" applyAlignment="1" applyBorder="1" applyFont="1" applyFill="1">
      <alignment horizontal="center" vertical="center"/>
    </xf>
    <xf numFmtId="0" fontId="0" fillId="2" borderId="67" xfId="0" applyAlignment="1" applyBorder="1" applyFill="1">
      <alignment horizontal="left" vertical="center"/>
    </xf>
    <xf numFmtId="0" fontId="0" fillId="2" borderId="51" xfId="0" applyAlignment="1" applyBorder="1" applyFill="1">
      <alignment horizontal="left" vertical="center"/>
    </xf>
    <xf numFmtId="0" fontId="0" fillId="2" borderId="49" xfId="0" applyAlignment="1" applyBorder="1" applyFill="1">
      <alignment horizontal="left" vertical="center"/>
    </xf>
    <xf numFmtId="0" fontId="0" fillId="2" borderId="5" xfId="0" applyAlignment="1" applyBorder="1" applyFill="1">
      <alignment horizontal="left" vertical="center"/>
    </xf>
    <xf numFmtId="0" fontId="0" fillId="2" borderId="4" xfId="0" applyAlignment="1" applyBorder="1" applyFill="1">
      <alignment horizontal="left" vertical="center"/>
    </xf>
    <xf numFmtId="0" fontId="17" fillId="2" borderId="7" xfId="0" applyAlignment="1" applyBorder="1" applyFont="1" applyFill="1">
      <alignment horizontal="center" vertical="center" wrapText="1"/>
    </xf>
    <xf numFmtId="0" fontId="17" fillId="2" borderId="3" xfId="0" applyAlignment="1" applyBorder="1" applyFont="1" applyFill="1">
      <alignment horizontal="center" vertical="center" wrapText="1"/>
    </xf>
    <xf numFmtId="0" fontId="17" fillId="2" borderId="5" xfId="0" applyAlignment="1" applyBorder="1" applyFont="1" applyFill="1">
      <alignment horizontal="center" vertical="center" wrapText="1"/>
    </xf>
    <xf numFmtId="0" fontId="17" fillId="2" borderId="4" xfId="0" applyAlignment="1" applyBorder="1" applyFont="1" applyFill="1">
      <alignment horizontal="center" vertical="center" wrapText="1"/>
    </xf>
    <xf numFmtId="0" fontId="17" fillId="2" borderId="4" xfId="0" applyAlignment="1" applyBorder="1" applyFont="1" applyFill="1">
      <alignment horizontal="center" vertical="center"/>
    </xf>
    <xf numFmtId="0" fontId="17" fillId="2" borderId="47" xfId="0" applyAlignment="1" applyBorder="1" applyFont="1" applyFill="1">
      <alignment horizontal="center" vertical="center" wrapText="1"/>
    </xf>
    <xf numFmtId="0" fontId="17" fillId="2" borderId="61" xfId="0" applyAlignment="1" applyBorder="1" applyFont="1" applyFill="1">
      <alignment horizontal="center" vertical="center" wrapText="1"/>
    </xf>
    <xf numFmtId="0" fontId="17" fillId="2" borderId="8" xfId="0" applyAlignment="1" applyBorder="1" applyFont="1" applyFill="1">
      <alignment horizontal="center" vertical="center"/>
    </xf>
    <xf numFmtId="0" fontId="17" fillId="2" borderId="6" xfId="0" applyAlignment="1" applyBorder="1" applyFont="1" applyFill="1">
      <alignment horizontal="center" vertical="center"/>
    </xf>
    <xf numFmtId="0" fontId="0" fillId="2" borderId="5" xfId="0" applyAlignment="1" applyBorder="1" applyFill="1">
      <alignment horizontal="center"/>
    </xf>
    <xf numFmtId="0" fontId="0" fillId="2" borderId="68" xfId="0" applyAlignment="1" applyBorder="1" applyFill="1">
      <alignment horizontal="center"/>
    </xf>
    <xf numFmtId="0" fontId="0" fillId="2" borderId="69" xfId="0" applyAlignment="1" applyBorder="1" applyFill="1">
      <alignment horizontal="center"/>
    </xf>
    <xf numFmtId="0" fontId="0" fillId="2" borderId="7" xfId="0" applyAlignment="1" applyBorder="1" applyFill="1">
      <alignment horizontal="center"/>
    </xf>
    <xf numFmtId="0" fontId="0" fillId="2" borderId="3" xfId="0" applyAlignment="1" applyBorder="1" applyFill="1">
      <alignment horizontal="center"/>
    </xf>
    <xf numFmtId="0" fontId="0" fillId="2" borderId="70" xfId="0" applyAlignment="1" applyBorder="1" applyFill="1">
      <alignment horizontal="center"/>
    </xf>
    <xf numFmtId="0" fontId="0" fillId="2" borderId="71" xfId="0" applyAlignment="1" applyBorder="1" applyFill="1">
      <alignment horizontal="center"/>
    </xf>
    <xf numFmtId="0" fontId="0" fillId="2" borderId="47" xfId="0" applyAlignment="1" applyBorder="1" applyFill="1">
      <alignment horizontal="center"/>
    </xf>
    <xf numFmtId="0" fontId="0" fillId="2" borderId="72" xfId="0" applyAlignment="1" applyBorder="1" applyFill="1">
      <alignment horizontal="left" vertical="center"/>
    </xf>
    <xf numFmtId="0" fontId="0" fillId="2" borderId="59" xfId="0" applyAlignment="1" applyBorder="1" applyFill="1">
      <alignment horizontal="left" vertical="center"/>
    </xf>
    <xf numFmtId="0" fontId="0" fillId="2" borderId="55" xfId="0" applyAlignment="1" applyBorder="1" applyFill="1">
      <alignment horizontal="left" vertical="center"/>
    </xf>
    <xf numFmtId="0" fontId="10" fillId="5" borderId="32" xfId="0" applyAlignment="1" applyBorder="1" applyFont="1" applyFill="1">
      <alignment horizontal="center" vertical="center"/>
    </xf>
    <xf numFmtId="0" fontId="10" fillId="5" borderId="33" xfId="0" applyAlignment="1" applyBorder="1" applyFont="1" applyFill="1">
      <alignment horizontal="center" vertical="center"/>
    </xf>
    <xf numFmtId="0" fontId="10" fillId="5" borderId="10" xfId="0" applyAlignment="1" applyBorder="1" applyFont="1" applyFill="1">
      <alignment horizontal="center" vertical="center"/>
    </xf>
    <xf numFmtId="0" fontId="2" fillId="0" borderId="32" xfId="0" applyAlignment="1" applyBorder="1" applyFont="1">
      <alignment horizontal="center" vertical="center"/>
    </xf>
    <xf numFmtId="0" fontId="2" fillId="0" borderId="33" xfId="0" applyAlignment="1" applyBorder="1" applyFont="1">
      <alignment horizontal="center" vertical="center"/>
    </xf>
    <xf numFmtId="0" fontId="2" fillId="0" borderId="10" xfId="0" applyAlignment="1" applyBorder="1" applyFont="1">
      <alignment horizontal="center" vertical="center"/>
    </xf>
  </cellXfs>
  <cellStyles count="1">
    <cellStyle name="Normal" xfId="0" builtinId="0"/>
  </cellStyles>
  <dxfs/>
  <tableStyles count="0" defaultTableStyle="TableStyleMedium2" defaultPivotStyle="PivotStyleLight16"/>
  <extLst xmlns="http://schemas.openxmlformats.org/spreadsheetml/2006/main"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T84"/>
  <sheetViews>
    <sheetView topLeftCell="A70" view="normal" workbookViewId="0">
      <selection pane="topLeft" activeCell="K84" sqref="K84"/>
    </sheetView>
  </sheetViews>
  <sheetFormatPr defaultRowHeight="15"/>
  <cols>
    <col min="1" max="1" width="2.7109375" customWidth="1"/>
    <col min="2" max="11" width="9.7109375" customWidth="1"/>
    <col min="12" max="12" width="2.7109375" customWidth="1"/>
    <col min="13" max="20" width="5.7109375" customWidth="1"/>
  </cols>
  <sheetData>
    <row r="1" spans="1:12" ht="34.15" customHeight="1" thickBot="1">
      <c r="A1" s="188" t="s">
        <v>117</v>
      </c>
      <c r="B1" s="189"/>
      <c r="C1" s="189"/>
      <c r="D1" s="189"/>
      <c r="E1" s="189"/>
      <c r="F1" s="189"/>
      <c r="G1" s="189"/>
      <c r="H1" s="189"/>
      <c r="I1" s="189"/>
      <c r="J1" s="189"/>
      <c r="K1" s="189"/>
      <c r="L1" s="190"/>
    </row>
    <row r="2" ht="15.75" thickBot="1"/>
    <row r="3" spans="2:11" customHeight="1" thickBot="1">
      <c r="B3" s="21" t="s">
        <v>0</v>
      </c>
      <c r="C3" s="22">
        <v>500</v>
      </c>
      <c r="D3" s="20" t="s">
        <v>2</v>
      </c>
      <c r="E3" s="191" t="s">
        <v>1</v>
      </c>
      <c r="F3" s="192"/>
      <c r="G3" s="192"/>
      <c r="H3" s="192"/>
      <c r="I3" s="192"/>
      <c r="J3" s="192"/>
      <c r="K3" s="193"/>
    </row>
    <row r="4" spans="2:11" customHeight="1" thickBot="1">
      <c r="B4" s="23" t="s">
        <v>15</v>
      </c>
      <c r="C4" s="24">
        <v>7</v>
      </c>
      <c r="D4" s="25" t="s">
        <v>18</v>
      </c>
      <c r="E4" s="157" t="s">
        <v>1</v>
      </c>
      <c r="F4" s="158"/>
      <c r="G4" s="158"/>
      <c r="H4" s="158"/>
      <c r="I4" s="158"/>
      <c r="J4" s="158"/>
      <c r="K4" s="159"/>
    </row>
    <row r="5" spans="2:11" customHeight="1" thickBot="1">
      <c r="B5" s="23" t="s">
        <v>20</v>
      </c>
      <c r="C5" s="24">
        <v>1</v>
      </c>
      <c r="D5" s="26" t="s">
        <v>21</v>
      </c>
      <c r="E5" s="157" t="s">
        <v>22</v>
      </c>
      <c r="F5" s="158"/>
      <c r="G5" s="158"/>
      <c r="H5" s="158"/>
      <c r="I5" s="158"/>
      <c r="J5" s="158"/>
      <c r="K5" s="159"/>
    </row>
    <row r="6" spans="2:11" customHeight="1" thickBot="1">
      <c r="B6" s="23" t="s">
        <v>23</v>
      </c>
      <c r="C6" s="24">
        <v>1</v>
      </c>
      <c r="D6" s="26" t="s">
        <v>21</v>
      </c>
      <c r="E6" s="157" t="s">
        <v>22</v>
      </c>
      <c r="F6" s="158"/>
      <c r="G6" s="158"/>
      <c r="H6" s="158"/>
      <c r="I6" s="158"/>
      <c r="J6" s="158"/>
      <c r="K6" s="159"/>
    </row>
    <row r="7" spans="6:6" ht="15.75" hidden="1" thickBot="1">
      <c r="F7" s="2"/>
    </row>
    <row r="8" spans="2:20" s="3" customFormat="1" ht="16.5" hidden="1" thickBot="1">
      <c r="B8" s="160" t="s">
        <v>3</v>
      </c>
      <c r="C8" s="161"/>
      <c r="D8" s="161"/>
      <c r="E8" s="161"/>
      <c r="F8" s="161"/>
      <c r="G8" s="161"/>
      <c r="H8" s="161"/>
      <c r="I8" s="161"/>
      <c r="J8" s="161"/>
      <c r="K8" s="161"/>
      <c r="L8" s="161"/>
      <c r="M8" s="161"/>
      <c r="N8" s="161"/>
      <c r="O8" s="161"/>
      <c r="P8" s="161"/>
      <c r="Q8" s="161"/>
      <c r="R8" s="161"/>
      <c r="S8" s="161"/>
      <c r="T8" s="162"/>
    </row>
    <row r="9" spans="2:20" s="3" customFormat="1" ht="15.75" hidden="1" thickBot="1">
      <c r="B9" s="185" t="s">
        <v>4</v>
      </c>
      <c r="C9" s="186"/>
      <c r="D9" s="187"/>
      <c r="E9" s="27">
        <v>2</v>
      </c>
      <c r="F9" s="27">
        <v>3</v>
      </c>
      <c r="G9" s="27">
        <v>4</v>
      </c>
      <c r="H9" s="27">
        <v>5</v>
      </c>
      <c r="I9" s="27">
        <v>6</v>
      </c>
      <c r="J9" s="27">
        <v>7</v>
      </c>
      <c r="K9" s="27"/>
      <c r="L9" s="27">
        <v>8</v>
      </c>
      <c r="M9" s="27">
        <v>9</v>
      </c>
      <c r="N9" s="27">
        <v>10</v>
      </c>
      <c r="O9" s="27">
        <v>11</v>
      </c>
      <c r="P9" s="27">
        <v>12</v>
      </c>
      <c r="Q9" s="27">
        <v>13</v>
      </c>
      <c r="R9" s="27">
        <v>14</v>
      </c>
      <c r="S9" s="27">
        <v>15</v>
      </c>
      <c r="T9" s="28">
        <v>16</v>
      </c>
    </row>
    <row r="10" spans="2:20" s="3" customFormat="1" ht="15.75" hidden="1" thickBot="1">
      <c r="B10" s="163" t="s">
        <v>5</v>
      </c>
      <c r="C10" s="164"/>
      <c r="D10" s="165"/>
      <c r="E10" s="4">
        <f ca="1">ROUNDDOWN(E9*14.50377,0)</f>
        <v>29</v>
      </c>
      <c r="F10" s="4">
        <f ca="1">ROUNDDOWN(F9*14.50377,0)</f>
        <v>43</v>
      </c>
      <c r="G10" s="4">
        <f ca="1">ROUNDDOWN(G9*14.50377,0)</f>
        <v>58</v>
      </c>
      <c r="H10" s="4">
        <f ca="1">ROUNDDOWN(H9*14.50377,0)</f>
        <v>72</v>
      </c>
      <c r="I10" s="4">
        <f ca="1">ROUNDDOWN(I9*14.50377,0)</f>
        <v>87</v>
      </c>
      <c r="J10" s="4">
        <v>100</v>
      </c>
      <c r="K10" s="4"/>
      <c r="L10" s="4">
        <v>115</v>
      </c>
      <c r="M10" s="4">
        <f ca="1">ROUNDDOWN(M9*14.50377,0)</f>
        <v>130</v>
      </c>
      <c r="N10" s="4">
        <f ca="1">ROUNDDOWN(N9*14.50377,0)</f>
        <v>145</v>
      </c>
      <c r="O10" s="4">
        <v>160</v>
      </c>
      <c r="P10" s="4">
        <f ca="1">ROUNDDOWN(P9*14.50377,0)</f>
        <v>174</v>
      </c>
      <c r="Q10" s="4">
        <v>189</v>
      </c>
      <c r="R10" s="4">
        <f ca="1">ROUNDDOWN(R9*14.50377,0)</f>
        <v>203</v>
      </c>
      <c r="S10" s="4">
        <v>218</v>
      </c>
      <c r="T10" s="5">
        <f ca="1">ROUNDDOWN(T9*14.50377,0)</f>
        <v>232</v>
      </c>
    </row>
    <row r="11" spans="2:20" s="3" customFormat="1" ht="15.75" hidden="1" thickBot="1">
      <c r="B11" s="166" t="s">
        <v>3</v>
      </c>
      <c r="C11" s="167"/>
      <c r="D11" s="167"/>
      <c r="E11" s="7">
        <v>0.38</v>
      </c>
      <c r="F11" s="7">
        <v>0.5</v>
      </c>
      <c r="G11" s="7">
        <v>0.63</v>
      </c>
      <c r="H11" s="7">
        <v>0.75</v>
      </c>
      <c r="I11" s="7">
        <v>0.88</v>
      </c>
      <c r="J11" s="7">
        <v>1</v>
      </c>
      <c r="K11" s="7"/>
      <c r="L11" s="7">
        <v>1.13</v>
      </c>
      <c r="M11" s="7">
        <v>1.25</v>
      </c>
      <c r="N11" s="7">
        <v>1.38</v>
      </c>
      <c r="O11" s="7">
        <v>1.5</v>
      </c>
      <c r="P11" s="7">
        <v>1.63</v>
      </c>
      <c r="Q11" s="7">
        <v>1.75</v>
      </c>
      <c r="R11" s="7">
        <v>1.88</v>
      </c>
      <c r="S11" s="7">
        <v>2</v>
      </c>
      <c r="T11" s="9">
        <v>2.13</v>
      </c>
    </row>
    <row r="12" spans="1:1" s="3" customFormat="1" ht="15.75" hidden="1" thickBot="1">
      <c r="A12"/>
    </row>
    <row r="13" spans="2:2" s="3" customFormat="1" ht="15.75" hidden="1" thickBot="1">
      <c r="B13" s="29" t="s">
        <v>6</v>
      </c>
    </row>
    <row r="14" spans="2:3" s="3" customFormat="1" ht="15.75" hidden="1" thickBot="1">
      <c r="B14" s="30" t="s">
        <v>15</v>
      </c>
      <c r="C14" s="19" t="s">
        <v>16</v>
      </c>
    </row>
    <row r="15" spans="2:3" s="3" customFormat="1" ht="15.75" hidden="1" thickBot="1">
      <c r="B15" s="10">
        <f ca="1">ROUNDDOWN(B16,0)</f>
        <v>8</v>
      </c>
      <c r="C15" s="11">
        <f ca="1">IF(B15=E9,E11,IF(B15=F9,F11,IF(B15=G9,G11,IF(B15=H9,H11,IF(B15=I9,I11,IF(B15=J9,J11,IF(B15=L9,L11,IF(B15=M9,M11,IF(B15=N9,N11,IF(B15=O9,O11,IF(B15=P9,P11,IF(B15=Q9,Q11,IF(B15=R9,R11,IF(B15=S9,S11,IF(B15=T9,T11)))))))))))))))</f>
        <v>1.13</v>
      </c>
    </row>
    <row r="16" spans="2:3" s="3" customFormat="1" ht="15.75" hidden="1" thickBot="1">
      <c r="B16" s="17">
        <f ca="1">C4</f>
        <v>8</v>
      </c>
      <c r="C16" s="18">
        <f ca="1">IF(B16=E9,E11,IF(B16=F9,F11,IF(B16=G9,G11,IF(B16=H9,H11,IF(B16=I9,I11,IF(B16=J9,J11,IF(B16=L9,L11,IF(B16=M9,M11,IF(B16=N9,N11,IF(B16=O9,O11,IF(B16=P9,P11,IF(B16=Q9,Q11,IF(B16=R9,R11,IF(B16=S9,S11,IF(B16=T9,T11,(((B16-B15)*(C17-C15))/(B17-B15))+C15)))))))))))))))</f>
        <v>1.13</v>
      </c>
    </row>
    <row r="17" spans="2:3" s="3" customFormat="1" ht="15.75" hidden="1" thickBot="1">
      <c r="B17" s="8">
        <f ca="1">ROUNDUP(B16,0)</f>
        <v>8</v>
      </c>
      <c r="C17" s="9">
        <f ca="1">IF(B17=E9,E11,IF(B17=F9,F11,IF(B17=G9,G11,IF(B17=H9,H11,IF(B17=I9,I11,IF(B17=J9,J11,IF(B17=L9,L11,IF(B17=M9,M11,IF(B17=N9,N11,IF(B17=O9,O11,IF(B17=P9,P11,IF(B17=Q9,Q11,IF(B17=R9,R11,IF(B17=S9,S11,IF(B17=T9,T11)))))))))))))))</f>
        <v>1.13</v>
      </c>
    </row>
    <row r="18" spans="2:3" s="3" customFormat="1" ht="15.75" hidden="1" thickBot="1">
      <c r="B18" s="13"/>
      <c r="C18" s="13"/>
    </row>
    <row r="19" spans="2:11" s="3" customFormat="1" ht="14.45" customHeight="1" hidden="1">
      <c r="B19" s="168" t="s">
        <v>24</v>
      </c>
      <c r="C19" s="169"/>
      <c r="D19" s="169" t="s">
        <v>25</v>
      </c>
      <c r="E19" s="169" t="s">
        <v>118</v>
      </c>
      <c r="F19" s="169"/>
      <c r="G19" s="169"/>
      <c r="H19" s="169" t="s">
        <v>26</v>
      </c>
      <c r="I19" s="169"/>
      <c r="J19" s="173"/>
      <c r="K19" s="175" t="s">
        <v>27</v>
      </c>
    </row>
    <row r="20" spans="2:11" s="3" customFormat="1" ht="14.45" customHeight="1" hidden="1">
      <c r="B20" s="170"/>
      <c r="C20" s="171"/>
      <c r="D20" s="172"/>
      <c r="E20" s="171"/>
      <c r="F20" s="171"/>
      <c r="G20" s="171"/>
      <c r="H20" s="171"/>
      <c r="I20" s="171"/>
      <c r="J20" s="174"/>
      <c r="K20" s="176"/>
    </row>
    <row r="21" spans="2:11" s="3" customFormat="1" ht="15.75" hidden="1" thickBot="1">
      <c r="B21" s="180" t="s">
        <v>28</v>
      </c>
      <c r="C21" s="181"/>
      <c r="D21" s="31" t="s">
        <v>7</v>
      </c>
      <c r="E21" s="181" t="s">
        <v>29</v>
      </c>
      <c r="F21" s="181"/>
      <c r="G21" s="181"/>
      <c r="H21" s="181">
        <v>60</v>
      </c>
      <c r="I21" s="181"/>
      <c r="J21" s="184"/>
      <c r="K21" s="32" t="s">
        <v>30</v>
      </c>
    </row>
    <row r="22" spans="2:11" s="3" customFormat="1" ht="15.75" hidden="1" thickBot="1">
      <c r="B22" s="154" t="s">
        <v>31</v>
      </c>
      <c r="C22" s="155"/>
      <c r="D22" s="33" t="s">
        <v>8</v>
      </c>
      <c r="E22" s="155" t="s">
        <v>29</v>
      </c>
      <c r="F22" s="155"/>
      <c r="G22" s="155"/>
      <c r="H22" s="155">
        <v>78</v>
      </c>
      <c r="I22" s="155"/>
      <c r="J22" s="156"/>
      <c r="K22" s="34" t="s">
        <v>32</v>
      </c>
    </row>
    <row r="23" spans="2:11" s="3" customFormat="1" ht="15.75" hidden="1" thickBot="1">
      <c r="B23" s="154" t="s">
        <v>33</v>
      </c>
      <c r="C23" s="155"/>
      <c r="D23" s="33" t="s">
        <v>9</v>
      </c>
      <c r="E23" s="155" t="s">
        <v>29</v>
      </c>
      <c r="F23" s="155"/>
      <c r="G23" s="155"/>
      <c r="H23" s="155">
        <v>120</v>
      </c>
      <c r="I23" s="155"/>
      <c r="J23" s="156"/>
      <c r="K23" s="34" t="s">
        <v>34</v>
      </c>
    </row>
    <row r="24" spans="2:11" s="3" customFormat="1" ht="15.75" hidden="1" thickBot="1">
      <c r="B24" s="154" t="s">
        <v>35</v>
      </c>
      <c r="C24" s="155"/>
      <c r="D24" s="33" t="s">
        <v>10</v>
      </c>
      <c r="E24" s="155" t="s">
        <v>29</v>
      </c>
      <c r="F24" s="155"/>
      <c r="G24" s="155"/>
      <c r="H24" s="155">
        <v>198</v>
      </c>
      <c r="I24" s="155"/>
      <c r="J24" s="156"/>
      <c r="K24" s="34" t="s">
        <v>36</v>
      </c>
    </row>
    <row r="25" spans="2:11" s="3" customFormat="1" ht="15.75" hidden="1" thickBot="1">
      <c r="B25" s="154" t="s">
        <v>37</v>
      </c>
      <c r="C25" s="155"/>
      <c r="D25" s="33" t="s">
        <v>10</v>
      </c>
      <c r="E25" s="155" t="s">
        <v>29</v>
      </c>
      <c r="F25" s="155"/>
      <c r="G25" s="155"/>
      <c r="H25" s="155">
        <v>335</v>
      </c>
      <c r="I25" s="155"/>
      <c r="J25" s="156"/>
      <c r="K25" s="34" t="s">
        <v>38</v>
      </c>
    </row>
    <row r="26" spans="2:11" s="3" customFormat="1" ht="15.75" hidden="1" thickBot="1">
      <c r="B26" s="154" t="s">
        <v>39</v>
      </c>
      <c r="C26" s="155"/>
      <c r="D26" s="33" t="s">
        <v>11</v>
      </c>
      <c r="E26" s="155" t="s">
        <v>29</v>
      </c>
      <c r="F26" s="155"/>
      <c r="G26" s="155"/>
      <c r="H26" s="155">
        <v>510</v>
      </c>
      <c r="I26" s="155"/>
      <c r="J26" s="156"/>
      <c r="K26" s="34" t="s">
        <v>40</v>
      </c>
    </row>
    <row r="27" spans="2:11" s="3" customFormat="1" ht="15.75" hidden="1" thickBot="1">
      <c r="B27" s="154" t="s">
        <v>41</v>
      </c>
      <c r="C27" s="155"/>
      <c r="D27" s="33" t="s">
        <v>11</v>
      </c>
      <c r="E27" s="155" t="s">
        <v>29</v>
      </c>
      <c r="F27" s="155"/>
      <c r="G27" s="155"/>
      <c r="H27" s="155">
        <v>780</v>
      </c>
      <c r="I27" s="155"/>
      <c r="J27" s="156"/>
      <c r="K27" s="34" t="s">
        <v>42</v>
      </c>
    </row>
    <row r="28" spans="2:11" s="3" customFormat="1" ht="15.75" hidden="1" thickBot="1">
      <c r="B28" s="154" t="s">
        <v>43</v>
      </c>
      <c r="C28" s="155"/>
      <c r="D28" s="33" t="s">
        <v>12</v>
      </c>
      <c r="E28" s="155" t="s">
        <v>29</v>
      </c>
      <c r="F28" s="155"/>
      <c r="G28" s="155"/>
      <c r="H28" s="155">
        <v>1000</v>
      </c>
      <c r="I28" s="155"/>
      <c r="J28" s="156"/>
      <c r="K28" s="34" t="s">
        <v>44</v>
      </c>
    </row>
    <row r="29" spans="2:11" s="3" customFormat="1" ht="15.75" hidden="1" thickBot="1">
      <c r="B29" s="154" t="s">
        <v>45</v>
      </c>
      <c r="C29" s="155"/>
      <c r="D29" s="33" t="s">
        <v>12</v>
      </c>
      <c r="E29" s="155" t="s">
        <v>29</v>
      </c>
      <c r="F29" s="155"/>
      <c r="G29" s="155"/>
      <c r="H29" s="155">
        <v>1500</v>
      </c>
      <c r="I29" s="155"/>
      <c r="J29" s="156"/>
      <c r="K29" s="34" t="s">
        <v>46</v>
      </c>
    </row>
    <row r="30" spans="2:11" s="3" customFormat="1" ht="15.75" hidden="1" thickBot="1">
      <c r="B30" s="154" t="s">
        <v>47</v>
      </c>
      <c r="C30" s="155"/>
      <c r="D30" s="33" t="s">
        <v>13</v>
      </c>
      <c r="E30" s="155" t="s">
        <v>29</v>
      </c>
      <c r="F30" s="155"/>
      <c r="G30" s="155"/>
      <c r="H30" s="155">
        <v>1680</v>
      </c>
      <c r="I30" s="155"/>
      <c r="J30" s="156"/>
      <c r="K30" s="34" t="s">
        <v>46</v>
      </c>
    </row>
    <row r="31" spans="2:11" s="3" customFormat="1" ht="15.75" hidden="1" thickBot="1">
      <c r="B31" s="154" t="s">
        <v>48</v>
      </c>
      <c r="C31" s="155"/>
      <c r="D31" s="33" t="s">
        <v>14</v>
      </c>
      <c r="E31" s="155" t="s">
        <v>29</v>
      </c>
      <c r="F31" s="155"/>
      <c r="G31" s="155"/>
      <c r="H31" s="155">
        <v>2160</v>
      </c>
      <c r="I31" s="155"/>
      <c r="J31" s="156"/>
      <c r="K31" s="34" t="s">
        <v>49</v>
      </c>
    </row>
    <row r="32" spans="2:11" s="3" customFormat="1" ht="15.75" hidden="1" thickBot="1">
      <c r="B32" s="177" t="s">
        <v>50</v>
      </c>
      <c r="C32" s="139"/>
      <c r="D32" s="35" t="s">
        <v>14</v>
      </c>
      <c r="E32" s="139" t="s">
        <v>29</v>
      </c>
      <c r="F32" s="139"/>
      <c r="G32" s="139"/>
      <c r="H32" s="139">
        <v>2760</v>
      </c>
      <c r="I32" s="139"/>
      <c r="J32" s="140"/>
      <c r="K32" s="36" t="s">
        <v>51</v>
      </c>
    </row>
    <row r="33" spans="2:11" s="3" customFormat="1" ht="15.75" hidden="1" thickBot="1">
      <c r="B33" s="180" t="s">
        <v>52</v>
      </c>
      <c r="C33" s="181"/>
      <c r="D33" s="31" t="s">
        <v>53</v>
      </c>
      <c r="E33" s="181" t="s">
        <v>29</v>
      </c>
      <c r="F33" s="181"/>
      <c r="G33" s="181"/>
      <c r="H33" s="182">
        <v>4320</v>
      </c>
      <c r="I33" s="182"/>
      <c r="J33" s="183"/>
      <c r="K33" s="32" t="s">
        <v>54</v>
      </c>
    </row>
    <row r="34" spans="2:11" s="3" customFormat="1" ht="15.75" hidden="1" thickBot="1">
      <c r="B34" s="154" t="s">
        <v>55</v>
      </c>
      <c r="C34" s="155"/>
      <c r="D34" s="33" t="s">
        <v>53</v>
      </c>
      <c r="E34" s="155" t="s">
        <v>29</v>
      </c>
      <c r="F34" s="155"/>
      <c r="G34" s="155"/>
      <c r="H34" s="178">
        <v>5520</v>
      </c>
      <c r="I34" s="178"/>
      <c r="J34" s="179"/>
      <c r="K34" s="37" t="s">
        <v>56</v>
      </c>
    </row>
    <row r="35" spans="2:11" s="3" customFormat="1" ht="15.75" hidden="1" thickBot="1">
      <c r="B35" s="154" t="s">
        <v>57</v>
      </c>
      <c r="C35" s="155"/>
      <c r="D35" s="33" t="s">
        <v>53</v>
      </c>
      <c r="E35" s="155" t="s">
        <v>29</v>
      </c>
      <c r="F35" s="155"/>
      <c r="G35" s="155"/>
      <c r="H35" s="178">
        <v>6480</v>
      </c>
      <c r="I35" s="178"/>
      <c r="J35" s="179"/>
      <c r="K35" s="38" t="s">
        <v>58</v>
      </c>
    </row>
    <row r="36" spans="2:11" s="3" customFormat="1" ht="15.75" hidden="1" thickBot="1">
      <c r="B36" s="154" t="s">
        <v>59</v>
      </c>
      <c r="C36" s="155"/>
      <c r="D36" s="33" t="s">
        <v>53</v>
      </c>
      <c r="E36" s="155" t="s">
        <v>29</v>
      </c>
      <c r="F36" s="155"/>
      <c r="G36" s="155"/>
      <c r="H36" s="178">
        <v>8280</v>
      </c>
      <c r="I36" s="178"/>
      <c r="J36" s="179"/>
      <c r="K36" s="38" t="s">
        <v>60</v>
      </c>
    </row>
    <row r="37" spans="2:11" s="3" customFormat="1" ht="15.75" hidden="1" thickBot="1">
      <c r="B37" s="154" t="s">
        <v>61</v>
      </c>
      <c r="C37" s="155"/>
      <c r="D37" s="33" t="s">
        <v>62</v>
      </c>
      <c r="E37" s="155" t="s">
        <v>29</v>
      </c>
      <c r="F37" s="155"/>
      <c r="G37" s="155"/>
      <c r="H37" s="178">
        <v>11040</v>
      </c>
      <c r="I37" s="178"/>
      <c r="J37" s="179"/>
      <c r="K37" s="38" t="s">
        <v>63</v>
      </c>
    </row>
    <row r="38" spans="2:11" s="3" customFormat="1" ht="15.75" hidden="1" thickBot="1">
      <c r="B38" s="154" t="s">
        <v>64</v>
      </c>
      <c r="C38" s="155"/>
      <c r="D38" s="33" t="s">
        <v>65</v>
      </c>
      <c r="E38" s="155" t="s">
        <v>29</v>
      </c>
      <c r="F38" s="155"/>
      <c r="G38" s="155"/>
      <c r="H38" s="155">
        <v>12960</v>
      </c>
      <c r="I38" s="155"/>
      <c r="J38" s="156"/>
      <c r="K38" s="38" t="s">
        <v>66</v>
      </c>
    </row>
    <row r="39" spans="2:11" s="3" customFormat="1" ht="15.75" hidden="1" thickBot="1">
      <c r="B39" s="154" t="s">
        <v>67</v>
      </c>
      <c r="C39" s="155"/>
      <c r="D39" s="33" t="s">
        <v>65</v>
      </c>
      <c r="E39" s="155" t="s">
        <v>29</v>
      </c>
      <c r="F39" s="155"/>
      <c r="G39" s="155"/>
      <c r="H39" s="155">
        <v>15120</v>
      </c>
      <c r="I39" s="155"/>
      <c r="J39" s="156"/>
      <c r="K39" s="38" t="s">
        <v>68</v>
      </c>
    </row>
    <row r="40" spans="2:11" s="3" customFormat="1" ht="15.75" hidden="1" thickBot="1">
      <c r="B40" s="154" t="s">
        <v>69</v>
      </c>
      <c r="C40" s="155"/>
      <c r="D40" s="33" t="s">
        <v>65</v>
      </c>
      <c r="E40" s="155" t="s">
        <v>29</v>
      </c>
      <c r="F40" s="155"/>
      <c r="G40" s="155"/>
      <c r="H40" s="155">
        <v>16560</v>
      </c>
      <c r="I40" s="155"/>
      <c r="J40" s="156"/>
      <c r="K40" s="38" t="s">
        <v>70</v>
      </c>
    </row>
    <row r="41" spans="2:11" s="3" customFormat="1" ht="15.75" hidden="1" thickBot="1">
      <c r="B41" s="154" t="s">
        <v>71</v>
      </c>
      <c r="C41" s="155"/>
      <c r="D41" s="33" t="s">
        <v>65</v>
      </c>
      <c r="E41" s="155" t="s">
        <v>29</v>
      </c>
      <c r="F41" s="155"/>
      <c r="G41" s="155"/>
      <c r="H41" s="155">
        <v>19440</v>
      </c>
      <c r="I41" s="155"/>
      <c r="J41" s="156"/>
      <c r="K41" s="38" t="s">
        <v>72</v>
      </c>
    </row>
    <row r="42" spans="2:11" s="3" customFormat="1" ht="15.75" hidden="1" thickBot="1">
      <c r="B42" s="154" t="s">
        <v>73</v>
      </c>
      <c r="C42" s="155"/>
      <c r="D42" s="33" t="s">
        <v>65</v>
      </c>
      <c r="E42" s="155" t="s">
        <v>29</v>
      </c>
      <c r="F42" s="155"/>
      <c r="G42" s="155"/>
      <c r="H42" s="155">
        <v>22080</v>
      </c>
      <c r="I42" s="155"/>
      <c r="J42" s="156"/>
      <c r="K42" s="38" t="s">
        <v>74</v>
      </c>
    </row>
    <row r="43" spans="2:11" s="3" customFormat="1" ht="15.75" hidden="1" thickBot="1">
      <c r="B43" s="177" t="s">
        <v>75</v>
      </c>
      <c r="C43" s="139"/>
      <c r="D43" s="35" t="s">
        <v>65</v>
      </c>
      <c r="E43" s="139" t="s">
        <v>29</v>
      </c>
      <c r="F43" s="139"/>
      <c r="G43" s="139"/>
      <c r="H43" s="139">
        <v>24840</v>
      </c>
      <c r="I43" s="139"/>
      <c r="J43" s="140"/>
      <c r="K43" s="39" t="s">
        <v>76</v>
      </c>
    </row>
    <row r="44" spans="1:1" s="3" customFormat="1" ht="15.75" hidden="1" thickBot="1">
      <c r="A44"/>
    </row>
    <row r="45" spans="2:13" s="3" customFormat="1" ht="15.75" hidden="1" thickBot="1">
      <c r="B45" s="141" t="s">
        <v>17</v>
      </c>
      <c r="C45" s="142"/>
      <c r="D45" s="40">
        <f ca="1">C3/C16</f>
        <v>442.47787610619474</v>
      </c>
      <c r="F45" s="14"/>
      <c r="G45" s="141" t="s">
        <v>17</v>
      </c>
      <c r="H45" s="142"/>
      <c r="I45" s="40">
        <f ca="1">(C3*0.85)/C16</f>
        <v>376.10619469026551</v>
      </c>
      <c r="L45" s="143"/>
      <c r="M45" s="143"/>
    </row>
    <row r="46" spans="2:5" s="3" customFormat="1" ht="15.75" hidden="1" thickBot="1">
      <c r="B46" s="10" t="s">
        <v>48</v>
      </c>
      <c r="C46" s="41">
        <f ca="1">$D$45/H31</f>
        <v>0.20485086856768275</v>
      </c>
      <c r="D46" s="6">
        <f ca="1">ROUNDUP($D$45/H31,0)</f>
        <v>1</v>
      </c>
      <c r="E46" s="11">
        <f ca="1">(D46*H31)-$D$45</f>
        <v>1717.5221238938052</v>
      </c>
    </row>
    <row r="47" spans="2:5" s="3" customFormat="1" ht="15.75" hidden="1" thickBot="1">
      <c r="B47" s="8" t="s">
        <v>50</v>
      </c>
      <c r="C47" s="42">
        <f ca="1">$D$45/H32</f>
        <v>0.16031807105296911</v>
      </c>
      <c r="D47" s="7">
        <f ca="1">ROUNDUP($D$45/H32,0)</f>
        <v>1</v>
      </c>
      <c r="E47" s="9">
        <f ca="1">(D47*H32)-$D$45</f>
        <v>2317.5221238938052</v>
      </c>
    </row>
    <row r="48" spans="2:9" ht="15.75" hidden="1" thickBot="1">
      <c r="B48" s="1"/>
      <c r="C48" s="15"/>
      <c r="D48" s="1"/>
      <c r="E48" s="1"/>
      <c r="G48" s="16"/>
      <c r="H48" s="16"/>
      <c r="I48" s="16"/>
    </row>
    <row r="49" spans="2:12" ht="15.75" thickBot="1">
      <c r="B49" s="144" t="s">
        <v>77</v>
      </c>
      <c r="C49" s="145"/>
      <c r="D49" s="43" t="str">
        <f ca="1">IF($D$45&lt;=H21,B21,IF($D$45&lt;=H22,B22,IF($D$45&lt;=H23,B23,IF($D$45&lt;=H24,B24,IF($D$45&lt;=H25,B25,IF($D$45&lt;=H26,B26,IF($D$45&lt;=H27,B27,IF($D$45&lt;=H28,B28,IF($D$45&lt;=H29,B29,IF($D$45&lt;=H30,B30,IF($D$45&lt;=H31,B31,IF($D$45&lt;=H32,B32,IF($D$45&lt;=H33,B33,IF($D$45&lt;=H34,B34,IF($D$45&lt;=H35,B35,IF($D$45&lt;=H36,B36,IF($D$45&lt;=H37,B37,IF($D$45&lt;=H38,B38,IF($D$45&lt;=H39,B39,IF($D$45&lt;=H40,B40,IF($D$45&lt;=H41,B41,IF($D$45&lt;=H42,B42,IF($D$45&lt;=H43,B43)))))))))))))))))))))))</f>
        <v>AF 0476</v>
      </c>
      <c r="E49" s="43" t="str">
        <f ca="1">IF($D$49=B21,K21,IF($D$49=B22,K22,IF($D$49=B23,K23,IF($D$49=B24,K24,IF($D$49=B25,K25,IF($D$49=B26,K26,IF($D$49=B27,K27,IF($D$49=B28,K28,IF($D$49=B29,K29,IF($D$49=B30,K30,IF($D$49=B31,K31,IF($D$49=B32,K32,IF($D$49=B33,K33,IF($D$49=B34,K34,IF($D$49=B35,K35,IF($D$49=B36,K36,IF($D$49=B37,K37,IF($D$49=B38,K38,IF($D$49=B39,K39,IF($D$49=B40,K40,IF($D$49=B41,K41,IF($D$49=B42,K42,IF($D$49=B43,K43)))))))))))))))))))))))</f>
        <v>1 x 32075</v>
      </c>
      <c r="G49" s="144" t="s">
        <v>78</v>
      </c>
      <c r="H49" s="145"/>
      <c r="I49" s="43" t="str">
        <f ca="1">IF($I$45&lt;=H21,B21,IF($I$45&lt;=H22,B22,IF($I$45&lt;=H23,B23,IF($I$45&lt;=H24,B24,IF($I$45&lt;=H25,B25,IF($I$45&lt;=H26,B26,IF($I$45&lt;=H27,B27,IF($I$45&lt;=H28,B28,IF($I$45&lt;=H29,B29,IF($I$45&lt;=H30,B30,IF($I$45&lt;=H31,B31,IF($I$45&lt;=H32,B32,IF($I$45&lt;=H33,B33,IF($I$45&lt;=H34,B34,IF($I$45&lt;=H35,B35,IF($I$45&lt;=H36,B36,IF($I$45&lt;=H37,B37,IF($I$45&lt;=H38,B38,IF($I$45&lt;=H39,B39,IF($I$45&lt;=H40,B40,IF($I$45&lt;=H41,B41,IF($I$45&lt;=H42,B42,IF($I$45&lt;=H43,B43)))))))))))))))))))))))</f>
        <v>AF 0476</v>
      </c>
      <c r="J49" s="43" t="str">
        <f ca="1">IF($I$49=B21,K21,IF($I$49=B22,K22,IF($I$49=B23,K23,IF($I$49=B24,K24,IF($I$49=B25,K25,IF($I$49=B26,K26,IF($I$49=B27,K27,IF($I$49=B28,K28,IF($I$49=B29,K29,IF($I$49=B30,K30,IF($I$49=B31,K31,IF($I$49=B32,K32,IF($I$49=B33,K33,IF($I$49=B34,K34,IF($I$49=B35,K35,IF($I$49=B36,K36,IF($I$49=B37,K37,IF($I$49=B38,K38,IF($I$49=B39,K39,IF($I$49=B40,K40,IF($I$49=B41,K41,IF($I$49=B42,K42,IF($I$49=B43,K43)))))))))))))))))))))))</f>
        <v>1 x 32075</v>
      </c>
      <c r="K49" s="1"/>
      <c r="L49" s="1"/>
    </row>
    <row r="50" spans="3:14" ht="16.5" thickBot="1">
      <c r="C50" s="44"/>
      <c r="D50" s="45"/>
      <c r="I50" s="1"/>
      <c r="J50" s="1"/>
      <c r="K50" s="1"/>
      <c r="L50" s="1"/>
      <c r="N50" s="46"/>
    </row>
    <row r="51" spans="2:11" ht="17.25" thickTop="1" thickBot="1">
      <c r="B51" s="122" t="s">
        <v>79</v>
      </c>
      <c r="C51" s="123"/>
      <c r="D51" s="123"/>
      <c r="E51" s="123"/>
      <c r="F51" s="123"/>
      <c r="G51" s="123"/>
      <c r="H51" s="123"/>
      <c r="I51" s="123"/>
      <c r="J51" s="123"/>
      <c r="K51" s="124"/>
    </row>
    <row r="52" spans="1:11" ht="12" customHeight="1" thickTop="1">
      <c r="A52" s="47"/>
      <c r="B52" s="146" t="s">
        <v>80</v>
      </c>
      <c r="C52" s="146"/>
      <c r="D52" s="148" t="s">
        <v>81</v>
      </c>
      <c r="E52" s="148"/>
      <c r="F52" s="148"/>
      <c r="G52" s="148"/>
      <c r="H52" s="148" t="s">
        <v>119</v>
      </c>
      <c r="I52" s="148"/>
      <c r="J52" s="150" t="s">
        <v>120</v>
      </c>
      <c r="K52" s="151"/>
    </row>
    <row r="53" spans="1:11" ht="12" customHeight="1" thickBot="1">
      <c r="A53" s="47"/>
      <c r="B53" s="147"/>
      <c r="C53" s="94"/>
      <c r="D53" s="48" t="s">
        <v>121</v>
      </c>
      <c r="E53" s="48" t="s">
        <v>122</v>
      </c>
      <c r="F53" s="48" t="s">
        <v>123</v>
      </c>
      <c r="G53" s="48" t="s">
        <v>124</v>
      </c>
      <c r="H53" s="149"/>
      <c r="I53" s="149"/>
      <c r="J53" s="152"/>
      <c r="K53" s="153"/>
    </row>
    <row r="54" spans="1:11" ht="10.15" customHeight="1">
      <c r="A54" s="47"/>
      <c r="B54" s="125">
        <v>0</v>
      </c>
      <c r="C54" s="126"/>
      <c r="D54" s="127" t="s">
        <v>83</v>
      </c>
      <c r="E54" s="128"/>
      <c r="F54" s="128"/>
      <c r="G54" s="129"/>
      <c r="H54" s="133" t="s">
        <v>84</v>
      </c>
      <c r="I54" s="134"/>
      <c r="J54" s="133" t="s">
        <v>84</v>
      </c>
      <c r="K54" s="137"/>
    </row>
    <row r="55" spans="1:11" ht="10.15" customHeight="1">
      <c r="A55" s="47"/>
      <c r="B55" s="104"/>
      <c r="C55" s="109"/>
      <c r="D55" s="130"/>
      <c r="E55" s="131"/>
      <c r="F55" s="131"/>
      <c r="G55" s="132"/>
      <c r="H55" s="133"/>
      <c r="I55" s="134"/>
      <c r="J55" s="133"/>
      <c r="K55" s="137"/>
    </row>
    <row r="56" spans="1:11" ht="12" customHeight="1">
      <c r="A56" s="47"/>
      <c r="B56" s="104">
        <v>1</v>
      </c>
      <c r="C56" s="109"/>
      <c r="D56" s="49" t="s">
        <v>85</v>
      </c>
      <c r="E56" s="50">
        <v>100</v>
      </c>
      <c r="F56" s="50">
        <v>1</v>
      </c>
      <c r="G56" s="50">
        <v>0</v>
      </c>
      <c r="H56" s="133"/>
      <c r="I56" s="134"/>
      <c r="J56" s="133"/>
      <c r="K56" s="137"/>
    </row>
    <row r="57" spans="1:11" ht="12" customHeight="1">
      <c r="A57" s="47"/>
      <c r="B57" s="104">
        <v>2</v>
      </c>
      <c r="C57" s="109"/>
      <c r="D57" s="49" t="s">
        <v>85</v>
      </c>
      <c r="E57" s="51">
        <v>100000</v>
      </c>
      <c r="F57" s="51">
        <v>1000</v>
      </c>
      <c r="G57" s="50">
        <v>10</v>
      </c>
      <c r="H57" s="133"/>
      <c r="I57" s="134"/>
      <c r="J57" s="133"/>
      <c r="K57" s="137"/>
    </row>
    <row r="58" spans="1:11" ht="12" customHeight="1">
      <c r="A58" s="47"/>
      <c r="B58" s="104">
        <v>3</v>
      </c>
      <c r="C58" s="109"/>
      <c r="D58" s="49" t="s">
        <v>85</v>
      </c>
      <c r="E58" s="49" t="s">
        <v>85</v>
      </c>
      <c r="F58" s="51">
        <v>10000</v>
      </c>
      <c r="G58" s="50">
        <v>500</v>
      </c>
      <c r="H58" s="133"/>
      <c r="I58" s="134"/>
      <c r="J58" s="133"/>
      <c r="K58" s="137"/>
    </row>
    <row r="59" spans="1:11" ht="12" customHeight="1">
      <c r="A59" s="47"/>
      <c r="B59" s="104">
        <v>4</v>
      </c>
      <c r="C59" s="109"/>
      <c r="D59" s="49" t="s">
        <v>85</v>
      </c>
      <c r="E59" s="49" t="s">
        <v>85</v>
      </c>
      <c r="F59" s="49" t="s">
        <v>85</v>
      </c>
      <c r="G59" s="51">
        <v>1000</v>
      </c>
      <c r="H59" s="133"/>
      <c r="I59" s="134"/>
      <c r="J59" s="133"/>
      <c r="K59" s="137"/>
    </row>
    <row r="60" spans="1:11" ht="12" customHeight="1">
      <c r="A60" s="47"/>
      <c r="B60" s="104">
        <v>5</v>
      </c>
      <c r="C60" s="109"/>
      <c r="D60" s="49" t="s">
        <v>85</v>
      </c>
      <c r="E60" s="49" t="s">
        <v>85</v>
      </c>
      <c r="F60" s="49" t="s">
        <v>85</v>
      </c>
      <c r="G60" s="51">
        <v>20000</v>
      </c>
      <c r="H60" s="135"/>
      <c r="I60" s="136"/>
      <c r="J60" s="135"/>
      <c r="K60" s="138"/>
    </row>
    <row r="61" spans="1:11" ht="12" customHeight="1">
      <c r="A61" s="47"/>
      <c r="B61" s="104">
        <v>6</v>
      </c>
      <c r="C61" s="109"/>
      <c r="D61" s="110" t="s">
        <v>86</v>
      </c>
      <c r="E61" s="111"/>
      <c r="F61" s="111"/>
      <c r="G61" s="112"/>
      <c r="H61" s="105" t="s">
        <v>125</v>
      </c>
      <c r="I61" s="104"/>
      <c r="J61" s="113" t="s">
        <v>87</v>
      </c>
      <c r="K61" s="114"/>
    </row>
    <row r="62" spans="1:11" ht="12" customHeight="1" thickBot="1">
      <c r="A62" s="47"/>
      <c r="B62" s="83">
        <v>7</v>
      </c>
      <c r="C62" s="115"/>
      <c r="D62" s="116" t="s">
        <v>86</v>
      </c>
      <c r="E62" s="117"/>
      <c r="F62" s="117"/>
      <c r="G62" s="118"/>
      <c r="H62" s="119" t="s">
        <v>88</v>
      </c>
      <c r="I62" s="120"/>
      <c r="J62" s="119" t="s">
        <v>89</v>
      </c>
      <c r="K62" s="121"/>
    </row>
    <row r="63" ht="16.5" thickTop="1" thickBot="1"/>
    <row r="64" spans="2:11" ht="17.25" thickTop="1" thickBot="1">
      <c r="B64" s="122" t="s">
        <v>90</v>
      </c>
      <c r="C64" s="123"/>
      <c r="D64" s="123"/>
      <c r="E64" s="123"/>
      <c r="F64" s="123"/>
      <c r="G64" s="123"/>
      <c r="H64" s="123"/>
      <c r="I64" s="123"/>
      <c r="J64" s="123"/>
      <c r="K64" s="124"/>
    </row>
    <row r="65" spans="1:11" ht="12" customHeight="1" thickTop="1" thickBot="1">
      <c r="A65" s="47"/>
      <c r="B65" s="94" t="s">
        <v>80</v>
      </c>
      <c r="C65" s="95"/>
      <c r="D65" s="96" t="s">
        <v>126</v>
      </c>
      <c r="E65" s="97"/>
      <c r="F65" s="97"/>
      <c r="G65" s="97"/>
      <c r="H65" s="97"/>
      <c r="I65" s="97"/>
      <c r="J65" s="97"/>
      <c r="K65" s="98"/>
    </row>
    <row r="66" spans="1:11" ht="12" customHeight="1">
      <c r="A66" s="47"/>
      <c r="B66" s="99">
        <v>0</v>
      </c>
      <c r="C66" s="100"/>
      <c r="D66" s="101" t="s">
        <v>83</v>
      </c>
      <c r="E66" s="102"/>
      <c r="F66" s="102"/>
      <c r="G66" s="102"/>
      <c r="H66" s="102"/>
      <c r="I66" s="102"/>
      <c r="J66" s="102"/>
      <c r="K66" s="103"/>
    </row>
    <row r="67" spans="1:11" ht="12" customHeight="1">
      <c r="A67" s="47"/>
      <c r="B67" s="104">
        <v>1</v>
      </c>
      <c r="C67" s="105"/>
      <c r="D67" s="106" t="s">
        <v>91</v>
      </c>
      <c r="E67" s="107"/>
      <c r="F67" s="107"/>
      <c r="G67" s="107"/>
      <c r="H67" s="107"/>
      <c r="I67" s="107"/>
      <c r="J67" s="107"/>
      <c r="K67" s="108"/>
    </row>
    <row r="68" spans="1:11" ht="12" customHeight="1">
      <c r="A68" s="47"/>
      <c r="B68" s="104">
        <v>2</v>
      </c>
      <c r="C68" s="105"/>
      <c r="D68" s="106" t="s">
        <v>82</v>
      </c>
      <c r="E68" s="107"/>
      <c r="F68" s="107"/>
      <c r="G68" s="107"/>
      <c r="H68" s="107"/>
      <c r="I68" s="107"/>
      <c r="J68" s="107"/>
      <c r="K68" s="108"/>
    </row>
    <row r="69" spans="1:11" ht="12" customHeight="1">
      <c r="A69" s="47"/>
      <c r="B69" s="104">
        <v>3</v>
      </c>
      <c r="C69" s="105"/>
      <c r="D69" s="106" t="s">
        <v>92</v>
      </c>
      <c r="E69" s="107"/>
      <c r="F69" s="107"/>
      <c r="G69" s="107"/>
      <c r="H69" s="107"/>
      <c r="I69" s="107"/>
      <c r="J69" s="107"/>
      <c r="K69" s="108"/>
    </row>
    <row r="70" spans="1:11" ht="12" customHeight="1" thickBot="1">
      <c r="A70" s="47"/>
      <c r="B70" s="83">
        <v>4</v>
      </c>
      <c r="C70" s="84"/>
      <c r="D70" s="85" t="s">
        <v>87</v>
      </c>
      <c r="E70" s="86"/>
      <c r="F70" s="86"/>
      <c r="G70" s="86"/>
      <c r="H70" s="86"/>
      <c r="I70" s="86"/>
      <c r="J70" s="86"/>
      <c r="K70" s="87"/>
    </row>
    <row r="71" ht="16.5" thickTop="1" thickBot="1"/>
    <row r="72" spans="3:11" ht="20.25" thickTop="1" thickBot="1">
      <c r="C72" s="88" t="s">
        <v>93</v>
      </c>
      <c r="D72" s="89"/>
      <c r="E72" s="89"/>
      <c r="F72" s="89"/>
      <c r="G72" s="89"/>
      <c r="H72" s="89"/>
      <c r="I72" s="89"/>
      <c r="J72" s="89"/>
      <c r="K72" s="90"/>
    </row>
    <row r="73" spans="3:11" ht="40.15" customHeight="1" thickTop="1" thickBot="1">
      <c r="C73" s="52" t="s">
        <v>94</v>
      </c>
      <c r="D73" s="53" t="s">
        <v>95</v>
      </c>
      <c r="E73" s="54" t="s">
        <v>96</v>
      </c>
      <c r="F73" s="55" t="s">
        <v>97</v>
      </c>
      <c r="G73" s="56" t="s">
        <v>98</v>
      </c>
      <c r="H73" s="57" t="s">
        <v>99</v>
      </c>
      <c r="I73" s="58" t="s">
        <v>127</v>
      </c>
      <c r="J73" s="59" t="s">
        <v>128</v>
      </c>
      <c r="K73" s="60" t="s">
        <v>129</v>
      </c>
    </row>
    <row r="74" spans="2:11" ht="23.25" thickTop="1">
      <c r="B74" s="61" t="s">
        <v>100</v>
      </c>
      <c r="C74" s="62">
        <v>7</v>
      </c>
      <c r="D74" s="62">
        <v>6</v>
      </c>
      <c r="E74" s="62">
        <v>3</v>
      </c>
      <c r="F74" s="62">
        <v>2</v>
      </c>
      <c r="G74" s="62">
        <v>1</v>
      </c>
      <c r="H74" s="62" t="s">
        <v>130</v>
      </c>
      <c r="I74" s="62" t="s">
        <v>130</v>
      </c>
      <c r="J74" s="62" t="s">
        <v>130</v>
      </c>
      <c r="K74" s="63">
        <v>1</v>
      </c>
    </row>
    <row r="75" spans="2:11" ht="22.5">
      <c r="B75" s="64" t="s">
        <v>101</v>
      </c>
      <c r="C75" s="65" t="s">
        <v>21</v>
      </c>
      <c r="D75" s="65" t="s">
        <v>21</v>
      </c>
      <c r="E75" s="65" t="s">
        <v>21</v>
      </c>
      <c r="F75" s="65">
        <v>2</v>
      </c>
      <c r="G75" s="65">
        <v>1</v>
      </c>
      <c r="H75" s="65">
        <v>1</v>
      </c>
      <c r="I75" s="65" t="s">
        <v>102</v>
      </c>
      <c r="J75" s="65" t="s">
        <v>21</v>
      </c>
      <c r="K75" s="66" t="s">
        <v>21</v>
      </c>
    </row>
    <row r="76" spans="2:11" ht="45" customHeight="1">
      <c r="B76" s="64" t="s">
        <v>103</v>
      </c>
      <c r="C76" s="65" t="s">
        <v>104</v>
      </c>
      <c r="D76" s="65" t="s">
        <v>105</v>
      </c>
      <c r="E76" s="65" t="s">
        <v>106</v>
      </c>
      <c r="F76" s="65" t="s">
        <v>107</v>
      </c>
      <c r="G76" s="65" t="s">
        <v>108</v>
      </c>
      <c r="H76" s="65" t="s">
        <v>109</v>
      </c>
      <c r="I76" s="65" t="s">
        <v>110</v>
      </c>
      <c r="J76" s="65" t="s">
        <v>110</v>
      </c>
      <c r="K76" s="66" t="s">
        <v>111</v>
      </c>
    </row>
    <row r="77" spans="2:11" ht="45" customHeight="1" thickBot="1">
      <c r="B77" s="67" t="s">
        <v>112</v>
      </c>
      <c r="C77" s="68" t="s">
        <v>113</v>
      </c>
      <c r="D77" s="69" t="s">
        <v>114</v>
      </c>
      <c r="E77" s="69" t="s">
        <v>114</v>
      </c>
      <c r="F77" s="69" t="s">
        <v>114</v>
      </c>
      <c r="G77" s="69" t="s">
        <v>114</v>
      </c>
      <c r="H77" s="69" t="s">
        <v>131</v>
      </c>
      <c r="I77" s="69" t="s">
        <v>131</v>
      </c>
      <c r="J77" s="69" t="s">
        <v>131</v>
      </c>
      <c r="K77" s="70" t="s">
        <v>21</v>
      </c>
    </row>
    <row r="78" spans="2:11" ht="13.15" customHeight="1" thickTop="1">
      <c r="B78" s="71"/>
      <c r="C78" s="72"/>
      <c r="D78" s="73"/>
      <c r="E78" s="73"/>
      <c r="F78" s="73"/>
      <c r="G78" s="73"/>
      <c r="H78" s="73"/>
      <c r="I78" s="73"/>
      <c r="J78" s="73"/>
      <c r="K78" s="73"/>
    </row>
    <row r="79" spans="2:11" ht="13.15" customHeight="1">
      <c r="B79" s="91" t="s">
        <v>115</v>
      </c>
      <c r="C79" s="92"/>
      <c r="D79" s="92"/>
      <c r="E79" s="92"/>
      <c r="F79" s="92"/>
      <c r="G79" s="92"/>
      <c r="H79" s="92"/>
      <c r="I79" s="92"/>
      <c r="J79" s="92"/>
      <c r="K79" s="92"/>
    </row>
    <row r="80" spans="2:11" ht="13.15" customHeight="1">
      <c r="B80" s="91" t="s">
        <v>132</v>
      </c>
      <c r="C80" s="92"/>
      <c r="D80" s="92"/>
      <c r="E80" s="92"/>
      <c r="F80" s="92"/>
      <c r="G80" s="92"/>
      <c r="H80" s="92"/>
      <c r="I80" s="92"/>
      <c r="J80" s="92"/>
      <c r="K80" s="92"/>
    </row>
    <row r="81" spans="2:11" ht="13.15" customHeight="1">
      <c r="B81" s="91" t="s">
        <v>116</v>
      </c>
      <c r="C81" s="92"/>
      <c r="D81" s="92"/>
      <c r="E81" s="92"/>
      <c r="F81" s="92"/>
      <c r="G81" s="92"/>
      <c r="H81" s="92"/>
      <c r="I81" s="92"/>
      <c r="J81" s="92"/>
      <c r="K81" s="92"/>
    </row>
    <row r="82" ht="15.75" thickBot="1"/>
    <row r="83" spans="2:11" ht="19.9" customHeight="1" thickBot="1">
      <c r="B83" s="76" t="s">
        <v>133</v>
      </c>
      <c r="C83" s="77"/>
      <c r="D83" s="78" t="str">
        <f ca="1">IF($C$6=B67,"AF MS",IF($C$6=B68,"AF RM",IF($C$6=B69,"AF PR",IF($C$6=B70,"AF BP",IF($C$60=B66,"Compressor Oil-Free must be selected.")))))</f>
        <v>AF MS</v>
      </c>
      <c r="E83" s="79"/>
      <c r="F83" s="80"/>
      <c r="G83" s="74"/>
      <c r="H83" s="81" t="s">
        <v>134</v>
      </c>
      <c r="I83" s="93"/>
      <c r="J83" s="75" t="str">
        <f ca="1">IF($D$45&lt;=H21,B21,IF($D$45&lt;=H22,B22,IF($D$45&lt;=H23,B23,IF($D$45&lt;=H24,B24,IF($D$45&lt;=H25,B25,IF($D$45&lt;=H26,B26,IF($D$45&lt;=H27,B27,IF($D$45&lt;=H28,B28,IF($D$45&lt;=H29,B29,IF($D$45&lt;=H30,B30,IF($D$45&lt;=H31,B31,IF($D$45&lt;=H32,B32,IF($D$45&lt;=H33,B33,IF($D$45&lt;=H34,B34,IF($D$45&lt;=H35,B35,IF($D$45&lt;=H36,B36,IF($D$45&lt;=H37,B37,IF($D$45&lt;=H38,B38,IF($D$45&lt;=H39,B39,IF($D$45&lt;=H40,B40,IF($D$45&lt;=H41,B41,IF($D$45&lt;=H42,B42,IF($D$45&lt;=H43,B43)))))))))))))))))))))))</f>
        <v>AF 0476</v>
      </c>
      <c r="K83" s="75" t="str">
        <f ca="1">IF($D$49=B21,K21,IF($D$49=B22,K22,IF($D$49=B23,K23,IF($D$49=B24,K24,IF($D$49=B25,K25,IF($D$49=B26,K26,IF($D$49=B27,K27,IF($D$49=B28,K28,IF($D$49=B29,K29,IF($D$49=B30,K30,IF($D$49=B31,K31,IF($D$49=B32,K32,IF($D$49=B33,K33,IF($D$49=B34,K34,IF($D$49=B35,K35,IF($D$49=B36,K36,IF($D$49=B37,K37,IF($D$49=B38,K38,IF($D$49=B39,K39,IF($D$49=B40,K40,IF($D$49=B41,K41,IF($D$49=B42,K42,IF($D$49=B43,K43)))))))))))))))))))))))</f>
        <v>1 x 32075</v>
      </c>
    </row>
    <row r="84" spans="2:11" ht="19.9" customHeight="1" thickBot="1">
      <c r="B84" s="76" t="s">
        <v>135</v>
      </c>
      <c r="C84" s="77"/>
      <c r="D84" s="78" t="str">
        <f ca="1">IF($C$5=B56,"AF S",IF($C$5=B57,"AF M",IF($C$5=B58,"AF R",IF($C$5=B59,"AF P",IF($C$5=B60,"AF R",IF($C$5=B61,"AF P",IF($C$5=B62,"AF B",IF($C$5=B54,"Compressor Oil-Free must be selected."))))))))</f>
        <v>AF S</v>
      </c>
      <c r="E84" s="79"/>
      <c r="F84" s="80"/>
      <c r="G84" s="74"/>
      <c r="H84" s="81" t="s">
        <v>136</v>
      </c>
      <c r="I84" s="82"/>
      <c r="J84" s="75" t="str">
        <f ca="1">IF($I$45&lt;=H21,B21,IF($I$45&lt;=H22,B22,IF($I$45&lt;=H23,B23,IF($I$45&lt;=H24,B24,IF($I$45&lt;=H25,B25,IF($I$45&lt;=H26,B26,IF($I$45&lt;=H27,B27,IF($I$45&lt;=H28,B28,IF($I$45&lt;=H29,B29,IF($I$45&lt;=H30,B30,IF($I$45&lt;=H31,B31,IF($I$45&lt;=H32,B32,IF($I$45&lt;=H33,B33,IF($I$45&lt;=H34,B34,IF($I$45&lt;=H35,B35,IF($I$45&lt;=H36,B36,IF($I$45&lt;=H37,B37,IF($I$45&lt;=H38,B38,IF($I$45&lt;=H39,B39,IF($I$45&lt;=H40,B40,IF($I$45&lt;=H41,B41,IF($I$45&lt;=H42,B42,IF($I$45&lt;=H43,B43)))))))))))))))))))))))</f>
        <v>AF 0476</v>
      </c>
      <c r="K84" s="75" t="str">
        <f ca="1">IF($I$49=B21,K21,IF($I$49=B22,K22,IF($I$49=B23,K23,IF($I$49=B24,K24,IF($I$49=B25,K25,IF($I$49=B26,K26,IF($I$49=B27,K27,IF($I$49=B28,K28,IF($I$49=B29,K29,IF($I$49=B30,K30,IF($I$49=B31,K31,IF($I$49=B32,K32,IF($I$49=B33,K33,IF($I$49=B34,K34,IF($I$49=B35,K35,IF($I$49=B36,K36,IF($I$49=B37,K37,IF($I$49=B38,K38,IF($I$49=B39,K39,IF($I$49=B40,K40,IF($I$49=B41,K41,IF($I$49=B42,K42,IF($I$49=B43,K43)))))))))))))))))))))))</f>
        <v>1 x 32075</v>
      </c>
    </row>
  </sheetData>
  <mergeCells count="133">
    <mergeCell ref="B21:C21"/>
    <mergeCell ref="E21:G21"/>
    <mergeCell ref="H21:J21"/>
    <mergeCell ref="B9:D9"/>
    <mergeCell ref="A1:L1"/>
    <mergeCell ref="E3:K3"/>
    <mergeCell ref="E4:K4"/>
    <mergeCell ref="B25:C25"/>
    <mergeCell ref="B24:C24"/>
    <mergeCell ref="E24:G24"/>
    <mergeCell ref="H24:J24"/>
    <mergeCell ref="E25:G25"/>
    <mergeCell ref="H25:J25"/>
    <mergeCell ref="B23:C23"/>
    <mergeCell ref="B22:C22"/>
    <mergeCell ref="E22:G22"/>
    <mergeCell ref="H22:J22"/>
    <mergeCell ref="E23:G23"/>
    <mergeCell ref="H23:J23"/>
    <mergeCell ref="B29:C29"/>
    <mergeCell ref="B28:C28"/>
    <mergeCell ref="E28:G28"/>
    <mergeCell ref="H28:J28"/>
    <mergeCell ref="E29:G29"/>
    <mergeCell ref="H29:J29"/>
    <mergeCell ref="B27:C27"/>
    <mergeCell ref="B26:C26"/>
    <mergeCell ref="E26:G26"/>
    <mergeCell ref="H26:J26"/>
    <mergeCell ref="E27:G27"/>
    <mergeCell ref="H27:J27"/>
    <mergeCell ref="B33:C33"/>
    <mergeCell ref="B32:C32"/>
    <mergeCell ref="E32:G32"/>
    <mergeCell ref="H32:J32"/>
    <mergeCell ref="E33:G33"/>
    <mergeCell ref="H33:J33"/>
    <mergeCell ref="B31:C31"/>
    <mergeCell ref="B30:C30"/>
    <mergeCell ref="E30:G30"/>
    <mergeCell ref="H30:J30"/>
    <mergeCell ref="E31:G31"/>
    <mergeCell ref="H31:J31"/>
    <mergeCell ref="B39:C39"/>
    <mergeCell ref="E39:G39"/>
    <mergeCell ref="H39:J39"/>
    <mergeCell ref="B35:C35"/>
    <mergeCell ref="B34:C34"/>
    <mergeCell ref="E34:G34"/>
    <mergeCell ref="H34:J34"/>
    <mergeCell ref="E35:G35"/>
    <mergeCell ref="H35:J35"/>
    <mergeCell ref="B38:C38"/>
    <mergeCell ref="B36:C36"/>
    <mergeCell ref="E36:G36"/>
    <mergeCell ref="H36:J36"/>
    <mergeCell ref="B37:C37"/>
    <mergeCell ref="E37:G37"/>
    <mergeCell ref="H37:J37"/>
    <mergeCell ref="E38:G38"/>
    <mergeCell ref="H38:J38"/>
    <mergeCell ref="E5:K5"/>
    <mergeCell ref="E6:K6"/>
    <mergeCell ref="B8:T8"/>
    <mergeCell ref="B10:D10"/>
    <mergeCell ref="B11:D11"/>
    <mergeCell ref="B19:C20"/>
    <mergeCell ref="D19:D20"/>
    <mergeCell ref="E19:G20"/>
    <mergeCell ref="H19:J20"/>
    <mergeCell ref="K19:K20"/>
    <mergeCell ref="B40:C40"/>
    <mergeCell ref="E40:G40"/>
    <mergeCell ref="H40:J40"/>
    <mergeCell ref="B41:C41"/>
    <mergeCell ref="E41:G41"/>
    <mergeCell ref="H41:J41"/>
    <mergeCell ref="B42:C42"/>
    <mergeCell ref="E42:G42"/>
    <mergeCell ref="H42:J42"/>
    <mergeCell ref="E43:G43"/>
    <mergeCell ref="H43:J43"/>
    <mergeCell ref="B45:C45"/>
    <mergeCell ref="G45:H45"/>
    <mergeCell ref="L45:M45"/>
    <mergeCell ref="B49:C49"/>
    <mergeCell ref="G49:H49"/>
    <mergeCell ref="B51:K51"/>
    <mergeCell ref="B52:C53"/>
    <mergeCell ref="D52:G52"/>
    <mergeCell ref="H52:I53"/>
    <mergeCell ref="J52:K53"/>
    <mergeCell ref="B43:C43"/>
    <mergeCell ref="B54:C55"/>
    <mergeCell ref="D54:G55"/>
    <mergeCell ref="H54:I60"/>
    <mergeCell ref="J54:K60"/>
    <mergeCell ref="B56:C56"/>
    <mergeCell ref="B57:C57"/>
    <mergeCell ref="B58:C58"/>
    <mergeCell ref="B59:C59"/>
    <mergeCell ref="B60:C60"/>
    <mergeCell ref="B61:C61"/>
    <mergeCell ref="D61:G61"/>
    <mergeCell ref="H61:I61"/>
    <mergeCell ref="J61:K61"/>
    <mergeCell ref="B62:C62"/>
    <mergeCell ref="D62:G62"/>
    <mergeCell ref="H62:I62"/>
    <mergeCell ref="J62:K62"/>
    <mergeCell ref="B64:K64"/>
    <mergeCell ref="B65:C65"/>
    <mergeCell ref="D65:K65"/>
    <mergeCell ref="B66:C66"/>
    <mergeCell ref="D66:K66"/>
    <mergeCell ref="B67:C67"/>
    <mergeCell ref="D67:K67"/>
    <mergeCell ref="B68:C68"/>
    <mergeCell ref="D68:K68"/>
    <mergeCell ref="B69:C69"/>
    <mergeCell ref="D69:K69"/>
    <mergeCell ref="B84:C84"/>
    <mergeCell ref="D84:F84"/>
    <mergeCell ref="H84:I84"/>
    <mergeCell ref="B70:C70"/>
    <mergeCell ref="D70:K70"/>
    <mergeCell ref="C72:K72"/>
    <mergeCell ref="B79:K79"/>
    <mergeCell ref="B80:K80"/>
    <mergeCell ref="B81:K81"/>
    <mergeCell ref="B83:C83"/>
    <mergeCell ref="D83:F83"/>
    <mergeCell ref="H83:I83"/>
  </mergeCells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>
    <tabColor rgb="FFFF4500"/>
  </sheetPr>
  <dimension ref="A10"/>
  <sheetViews>
    <sheetView view="normal" tabSelected="1" workbookViewId="0">
      <selection pane="topLeft" activeCell="A1" sqref="A1"/>
    </sheetView>
  </sheetViews>
  <sheetFormatPr defaultRowHeight="15"/>
  <sheetData>
    <row r="10" spans="1:1" ht="25" customHeight="1">
      <c r="A10" s="12" t="s">
        <v>19</v>
      </c>
    </row>
  </sheetData>
  <sheetProtection algorithmName="SHA-512" hashValue="l/0XNK9ADVRlBQTgGzZD9EzIhE/xPLzPSO6RTg8Mq8uK4SDBsxQgHA+bjTJEHBo7BfDhBZsqVYd3PYJYaTITEQ==" saltValue="QgNcETV2djdoSnnkMvX+FA==" spinCount="100000" sheet="1" objects="1" scenarios="1" pivotTables="1"/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Microsoft Excel</Application>
  <Company/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SalarKia Soroush</dc:creator>
  <cp:lastModifiedBy>Bohlouli Hossein</cp:lastModifiedBy>
  <dcterms:created xsi:type="dcterms:W3CDTF">2019-11-26T12:49:34Z</dcterms:created>
  <dcterms:modified xsi:type="dcterms:W3CDTF">2021-02-20T09:33:58Z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