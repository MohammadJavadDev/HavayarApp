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Uploads\SizingExcels\"/>
    </mc:Choice>
  </mc:AlternateContent>
  <bookViews>
    <workbookView xWindow="28680" yWindow="-120" windowWidth="29040" windowHeight="15840" activeTab="1"/>
  </bookViews>
  <sheets>
    <sheet name="Sheet1" sheetId="1" r:id="rId1"/>
    <sheet name="Evaluation Warning" sheetId="2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4" i="1" l="1"/>
  <c r="Q85" i="1"/>
  <c r="G85" i="1"/>
  <c r="Q84" i="1"/>
  <c r="G84" i="1"/>
  <c r="Q83" i="1"/>
  <c r="G83" i="1"/>
  <c r="Q82" i="1"/>
  <c r="G82" i="1"/>
  <c r="Q81" i="1"/>
  <c r="G81" i="1"/>
  <c r="Q80" i="1"/>
  <c r="G80" i="1"/>
  <c r="G79" i="1"/>
  <c r="Q77" i="1"/>
  <c r="J72" i="1"/>
  <c r="J71" i="1"/>
  <c r="J70" i="1"/>
  <c r="J69" i="1"/>
  <c r="J68" i="1"/>
  <c r="J67" i="1"/>
  <c r="J66" i="1"/>
  <c r="J65" i="1"/>
  <c r="J64" i="1"/>
  <c r="J63" i="1"/>
  <c r="J62" i="1"/>
  <c r="J61" i="1"/>
  <c r="D50" i="1"/>
  <c r="D49" i="1"/>
  <c r="Q45" i="1"/>
  <c r="P45" i="1"/>
  <c r="Q44" i="1"/>
  <c r="P44" i="1"/>
  <c r="Q43" i="1"/>
  <c r="P43" i="1"/>
  <c r="Q42" i="1"/>
  <c r="P42" i="1"/>
  <c r="Q41" i="1"/>
  <c r="P41" i="1"/>
  <c r="Q40" i="1"/>
  <c r="P40" i="1"/>
  <c r="Q39" i="1"/>
  <c r="P39" i="1"/>
  <c r="Q38" i="1"/>
  <c r="P38" i="1"/>
  <c r="Q37" i="1"/>
  <c r="P37" i="1"/>
  <c r="Q36" i="1"/>
  <c r="P36" i="1"/>
  <c r="Q35" i="1"/>
  <c r="P35" i="1"/>
  <c r="Q34" i="1"/>
  <c r="P34" i="1"/>
  <c r="F34" i="1"/>
  <c r="Q33" i="1"/>
  <c r="P33" i="1"/>
  <c r="F33" i="1"/>
  <c r="Q32" i="1"/>
  <c r="P32" i="1"/>
  <c r="F32" i="1"/>
  <c r="Q31" i="1"/>
  <c r="P31" i="1"/>
  <c r="F31" i="1"/>
  <c r="Q30" i="1"/>
  <c r="P30" i="1"/>
  <c r="Q29" i="1"/>
  <c r="P29" i="1"/>
  <c r="Q28" i="1"/>
  <c r="P28" i="1"/>
  <c r="Q27" i="1"/>
  <c r="P27" i="1"/>
  <c r="E27" i="1"/>
  <c r="F27" i="1" s="1"/>
  <c r="B27" i="1"/>
  <c r="C27" i="1" s="1"/>
  <c r="Q26" i="1"/>
  <c r="P26" i="1"/>
  <c r="E26" i="1"/>
  <c r="F26" i="1" s="1"/>
  <c r="D51" i="1" s="1"/>
  <c r="C26" i="1"/>
  <c r="B26" i="1"/>
  <c r="Q25" i="1"/>
  <c r="P25" i="1"/>
  <c r="E25" i="1"/>
  <c r="F25" i="1" s="1"/>
  <c r="B25" i="1"/>
  <c r="C25" i="1" s="1"/>
  <c r="Q24" i="1"/>
  <c r="P24" i="1"/>
  <c r="Q23" i="1"/>
  <c r="P23" i="1"/>
  <c r="Q22" i="1"/>
  <c r="P22" i="1"/>
  <c r="Q21" i="1"/>
  <c r="P21" i="1"/>
  <c r="D52" i="1" l="1"/>
  <c r="E53" i="1" s="1"/>
  <c r="G53" i="1" s="1"/>
  <c r="C93" i="1" s="1"/>
  <c r="Q93" i="1" l="1"/>
  <c r="P93" i="1"/>
  <c r="O93" i="1"/>
  <c r="N93" i="1"/>
  <c r="F93" i="1"/>
  <c r="D93" i="1"/>
  <c r="M93" i="1"/>
  <c r="L93" i="1"/>
  <c r="E93" i="1"/>
  <c r="K93" i="1"/>
  <c r="J93" i="1"/>
  <c r="I93" i="1"/>
  <c r="H93" i="1"/>
  <c r="G93" i="1"/>
</calcChain>
</file>

<file path=xl/sharedStrings.xml><?xml version="1.0" encoding="utf-8"?>
<sst xmlns="http://schemas.openxmlformats.org/spreadsheetml/2006/main" count="453" uniqueCount="209">
  <si>
    <t>PROJECT :</t>
  </si>
  <si>
    <t>SALMAN PLATFORM</t>
  </si>
  <si>
    <t>DATE:</t>
  </si>
  <si>
    <t>Revision:</t>
  </si>
  <si>
    <t>Minimum inlet pressure</t>
  </si>
  <si>
    <t>barg</t>
  </si>
  <si>
    <t>Inlet air temperature</t>
  </si>
  <si>
    <t>°C</t>
  </si>
  <si>
    <t>Nominal Flow  "Q"</t>
  </si>
  <si>
    <t>Nm3/hr</t>
  </si>
  <si>
    <t>10 min.</t>
  </si>
  <si>
    <t xml:space="preserve">Corrosion Allowance C.A. </t>
  </si>
  <si>
    <t>-</t>
  </si>
  <si>
    <t>7 min.</t>
  </si>
  <si>
    <t>Required presserized Dew Point</t>
  </si>
  <si>
    <t>5 Min.</t>
  </si>
  <si>
    <t>Internal Painting</t>
  </si>
  <si>
    <t>SA 2.1/2 
100 micron Epoxy</t>
  </si>
  <si>
    <t>External Painting</t>
  </si>
  <si>
    <t>SA 2.1/2 
40 micron Zinc Rich Epoxy Primer
40 micron High Build Epoxy Polyamide
40 micron Aliphatic Polyurethane Top Coat
Total: 120 micron</t>
  </si>
  <si>
    <t>Correction Factor</t>
  </si>
  <si>
    <t>Inlet Pressure (Barg)</t>
  </si>
  <si>
    <t>Model</t>
  </si>
  <si>
    <t>Inlet Air Flow-Rate</t>
  </si>
  <si>
    <t>Inlet Air Temperature (°C)</t>
  </si>
  <si>
    <t>&lt;25</t>
  </si>
  <si>
    <t>NI/min</t>
  </si>
  <si>
    <t>Nm3/h</t>
  </si>
  <si>
    <t>scfm</t>
  </si>
  <si>
    <t>HDT-3</t>
  </si>
  <si>
    <t>HDT-5</t>
  </si>
  <si>
    <t>Interpolation</t>
  </si>
  <si>
    <t>HDT-8</t>
  </si>
  <si>
    <t>Pressure</t>
  </si>
  <si>
    <t>Corr. Factor</t>
  </si>
  <si>
    <t>Temperature</t>
  </si>
  <si>
    <t>HDT-12</t>
  </si>
  <si>
    <t>HDT-18</t>
  </si>
  <si>
    <t>HDT-25</t>
  </si>
  <si>
    <t>HDT-30</t>
  </si>
  <si>
    <t>HDT-40</t>
  </si>
  <si>
    <t>Actuator Weight (kg)</t>
  </si>
  <si>
    <t>HDT-50</t>
  </si>
  <si>
    <t>size</t>
  </si>
  <si>
    <t>weight (kg)</t>
  </si>
  <si>
    <t>Butterfly valve
(Flange Connection)</t>
  </si>
  <si>
    <t>HDT-60</t>
  </si>
  <si>
    <t>Ball Valve With Actuator 1/2"</t>
  </si>
  <si>
    <t>1/2"</t>
  </si>
  <si>
    <t>2"</t>
  </si>
  <si>
    <t>HDT-75</t>
  </si>
  <si>
    <t>Ball Valve With Actuator 3/4"</t>
  </si>
  <si>
    <t>3/4"</t>
  </si>
  <si>
    <t>2.1/2"</t>
  </si>
  <si>
    <t>HDT-90</t>
  </si>
  <si>
    <t>Ball Valve With Actuator 1"</t>
  </si>
  <si>
    <t>1"</t>
  </si>
  <si>
    <t>3"</t>
  </si>
  <si>
    <t>HDT-130</t>
  </si>
  <si>
    <t>Ball Valve With Actuator 11/2"</t>
  </si>
  <si>
    <t>11/2"</t>
  </si>
  <si>
    <t>4"</t>
  </si>
  <si>
    <t>HDT-160</t>
  </si>
  <si>
    <t>5"</t>
  </si>
  <si>
    <t>HDT-200</t>
  </si>
  <si>
    <t>6"</t>
  </si>
  <si>
    <t>HDT-250</t>
  </si>
  <si>
    <t>8"</t>
  </si>
  <si>
    <t>HDT-300</t>
  </si>
  <si>
    <t>HDT-350</t>
  </si>
  <si>
    <t>HDT-400</t>
  </si>
  <si>
    <t>1.1/2"</t>
  </si>
  <si>
    <t>HDT-450</t>
  </si>
  <si>
    <t>HDT-620</t>
  </si>
  <si>
    <t>HDT-800</t>
  </si>
  <si>
    <t>HDT-1000</t>
  </si>
  <si>
    <t>HDT-1200</t>
  </si>
  <si>
    <t>HDT-1500</t>
  </si>
  <si>
    <t>m3/hr</t>
  </si>
  <si>
    <t>correction factor (F1)</t>
  </si>
  <si>
    <t>correction factor (F2)</t>
  </si>
  <si>
    <t>Actual outlet flow</t>
  </si>
  <si>
    <t xml:space="preserve"> Dryer Type</t>
  </si>
  <si>
    <t>HDT's Dimension for pressures (8,10,13) barg.</t>
  </si>
  <si>
    <t xml:space="preserve">ITEM </t>
  </si>
  <si>
    <t>Type</t>
  </si>
  <si>
    <t>OD
(inch) - (mm)</t>
  </si>
  <si>
    <t>LENGTH
(mm)</t>
  </si>
  <si>
    <t>MATERIAL</t>
  </si>
  <si>
    <t>SKID 
Dimensions mm</t>
  </si>
  <si>
    <t>Changeover Valves</t>
  </si>
  <si>
    <t>Regeneration Valve</t>
  </si>
  <si>
    <t>Discharge Valve</t>
  </si>
  <si>
    <t>Nozzles
Inlet &amp; Outlet</t>
  </si>
  <si>
    <t xml:space="preserve">Molecular Sieve Weight </t>
  </si>
  <si>
    <t xml:space="preserve">Dryer Weight </t>
  </si>
  <si>
    <t>SA-106 Gr. B</t>
  </si>
  <si>
    <t>SA516 Gr.70</t>
  </si>
  <si>
    <t>PIPE (SCH.)</t>
  </si>
  <si>
    <t>PLATE (THK.)</t>
  </si>
  <si>
    <t>(L x W x H)</t>
  </si>
  <si>
    <t xml:space="preserve">Size </t>
  </si>
  <si>
    <t>Material</t>
  </si>
  <si>
    <t>Rating</t>
  </si>
  <si>
    <t>Kg</t>
  </si>
  <si>
    <t>3" - ∅ 88.9</t>
  </si>
  <si>
    <t xml:space="preserve"> Sch. 30</t>
  </si>
  <si>
    <t>545 x 400 x 1280 (Approx.)</t>
  </si>
  <si>
    <t>Check Valve 1/2"</t>
  </si>
  <si>
    <t>Half Coupling</t>
  </si>
  <si>
    <t xml:space="preserve">Class </t>
  </si>
  <si>
    <t xml:space="preserve"> 3000#</t>
  </si>
  <si>
    <t>5</t>
  </si>
  <si>
    <t>545 x 400 x 1800 (Approx.)</t>
  </si>
  <si>
    <t>Ball valve 1/2"</t>
  </si>
  <si>
    <t>9</t>
  </si>
  <si>
    <t>4" -  ∅ 114.3</t>
  </si>
  <si>
    <t>1130 x 850 x 2400 (Approx.)</t>
  </si>
  <si>
    <t>Check valve 1/2"</t>
  </si>
  <si>
    <t>3000#</t>
  </si>
  <si>
    <t>Wafer Disc Check valve 3/4"</t>
  </si>
  <si>
    <t>20</t>
  </si>
  <si>
    <t>5" - ∅ 141.3</t>
  </si>
  <si>
    <t>Sch. 40</t>
  </si>
  <si>
    <t xml:space="preserve">Ball valve with Actuator 1" </t>
  </si>
  <si>
    <t xml:space="preserve"> Wafer Disc Check valve 1"</t>
  </si>
  <si>
    <t xml:space="preserve"> SA-106 Gr.B / SA-105</t>
  </si>
  <si>
    <t>S.O. / R.F.</t>
  </si>
  <si>
    <t xml:space="preserve"> 150#</t>
  </si>
  <si>
    <t>27</t>
  </si>
  <si>
    <t>6" - ∅ 168.3</t>
  </si>
  <si>
    <t>1140X 800 X 2200 (Approx.)</t>
  </si>
  <si>
    <t>Ball valve With Actuator 1"</t>
  </si>
  <si>
    <t>40</t>
  </si>
  <si>
    <t>45</t>
  </si>
  <si>
    <t>1140 x 800 x 2500 (Approx.)</t>
  </si>
  <si>
    <t>50</t>
  </si>
  <si>
    <t>8" - ∅ 219.1</t>
  </si>
  <si>
    <t>Sch. 20</t>
  </si>
  <si>
    <t>1325 x 700 x 2400 (Approx.)</t>
  </si>
  <si>
    <t>Ball Valve With Actuator 1 1/2"</t>
  </si>
  <si>
    <t xml:space="preserve"> Wafer Disc Check valve 1 1/2"</t>
  </si>
  <si>
    <t>79</t>
  </si>
  <si>
    <t>1325 x 700 x 2300 (Approx.)</t>
  </si>
  <si>
    <t>85</t>
  </si>
  <si>
    <t>10" - ∅ 273.1</t>
  </si>
  <si>
    <t>1425 x 850 x 2600 (Approx.)</t>
  </si>
  <si>
    <t>Butterfly Valve  With Actuator 2"</t>
  </si>
  <si>
    <t>Wafer Disc Check valve 2"</t>
  </si>
  <si>
    <t xml:space="preserve">HDT-90 </t>
  </si>
  <si>
    <t>12" - ∅ 323.9</t>
  </si>
  <si>
    <t>1300 x 700 x 2410 (Approx.)</t>
  </si>
  <si>
    <t>Butterfly Valve With Actuator 2"</t>
  </si>
  <si>
    <t>140</t>
  </si>
  <si>
    <t>14" - ∅ 355.6</t>
  </si>
  <si>
    <t>1400 x 800 x 2600 (Approx.)</t>
  </si>
  <si>
    <t>Butterfly Valve With Actuator 21/2"</t>
  </si>
  <si>
    <t xml:space="preserve"> Wafer Disc Check valve 2.1/2"</t>
  </si>
  <si>
    <t>21/2"</t>
  </si>
  <si>
    <t>195</t>
  </si>
  <si>
    <t>1400 x 800 x 2900 (Approx.)</t>
  </si>
  <si>
    <t>Butterfly valve With Actuator 21/2"</t>
  </si>
  <si>
    <t>Butterfly valve With Actuator 2"</t>
  </si>
  <si>
    <t>250</t>
  </si>
  <si>
    <t>18" - ∅ 457</t>
  </si>
  <si>
    <t>1620 x1000 x 2600 (Approx.)</t>
  </si>
  <si>
    <t>Butterfly valve With Actuator 3"</t>
  </si>
  <si>
    <t>Butterfly valve With Actuator2.1/2"</t>
  </si>
  <si>
    <t xml:space="preserve"> Wafer Disc Check valve 3"</t>
  </si>
  <si>
    <t>320</t>
  </si>
  <si>
    <t>20" - ∅ 508</t>
  </si>
  <si>
    <t>1720 X 1000 X 2600 (Approx.)</t>
  </si>
  <si>
    <t>Butterfly Valve 3"</t>
  </si>
  <si>
    <t>Butterfly Valve 21/2"</t>
  </si>
  <si>
    <t>Check valve 3"</t>
  </si>
  <si>
    <t>380</t>
  </si>
  <si>
    <t>1800 x 1000 x 2900 (Approx.)</t>
  </si>
  <si>
    <t>520</t>
  </si>
  <si>
    <t>24" - ∅ 610</t>
  </si>
  <si>
    <t>2050 x1060 x 2800 (Approx.)</t>
  </si>
  <si>
    <t>Butterfly valve With Actuator 4"</t>
  </si>
  <si>
    <t xml:space="preserve"> Wafer Disc Check valve 4"</t>
  </si>
  <si>
    <t>580</t>
  </si>
  <si>
    <t>2120 x 1100 x 2800 (Approx.)</t>
  </si>
  <si>
    <t>690</t>
  </si>
  <si>
    <t>2300 x 1200 x 2800 (Approx.)</t>
  </si>
  <si>
    <t>Butterfly valve With Actuator 5"</t>
  </si>
  <si>
    <t>Wafer Disc Check valve 5"</t>
  </si>
  <si>
    <t>810</t>
  </si>
  <si>
    <t>2000 x 2500 x 3500 (Approx.)</t>
  </si>
  <si>
    <t xml:space="preserve"> Wafer Disc Check valve 5"</t>
  </si>
  <si>
    <t>1200</t>
  </si>
  <si>
    <t>2800 x 2800 x 3500 (Approx.)</t>
  </si>
  <si>
    <t>Butterfly Valve with Acctuator 6"</t>
  </si>
  <si>
    <t>Butterfly Valve with acctuator 4"</t>
  </si>
  <si>
    <t>Check Valve 6"</t>
  </si>
  <si>
    <t>1130</t>
  </si>
  <si>
    <t>2500 x 3000 x 4000 (Approx.)</t>
  </si>
  <si>
    <t>Wafer Disc Check Valve 6"</t>
  </si>
  <si>
    <t>1650</t>
  </si>
  <si>
    <t>2700 x3100 x 4500 (Approx.)</t>
  </si>
  <si>
    <t>Butterfly valve With Actuator 6"</t>
  </si>
  <si>
    <t xml:space="preserve"> Wafer Disc Check valve 6"</t>
  </si>
  <si>
    <t>3000 X 2500 X 3000 (Approx.)</t>
  </si>
  <si>
    <t>Butterfly valve With Actuator 8"</t>
  </si>
  <si>
    <t>Wafer Disk Check valve 3"</t>
  </si>
  <si>
    <t>Wafer Disk Check valve 8"</t>
  </si>
  <si>
    <t>Head</t>
  </si>
  <si>
    <t>Created with a trial version of Syncfusion Essential XlsIO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</si>
</sst>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"/>
  </numFmts>
  <fonts count="2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rgb="FF0070C0"/>
      <name val="Calibri"/>
      <family val="2"/>
      <scheme val="minor"/>
    </font>
    <font>
      <i/>
      <sz val="20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.5"/>
      <color theme="1"/>
      <name val="Calibri"/>
      <family val="2"/>
    </font>
    <font>
      <b/>
      <sz val="14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99FF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212">
    <xf numFmtId="0" fontId="0" fillId="0" borderId="0" xfId="0"/>
    <xf numFmtId="0" fontId="4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horizontal="left" vertical="center"/>
    </xf>
    <xf numFmtId="164" fontId="5" fillId="2" borderId="2" xfId="0" applyNumberFormat="1" applyFont="1" applyFill="1" applyBorder="1" applyAlignment="1">
      <alignment vertical="center"/>
    </xf>
    <xf numFmtId="1" fontId="4" fillId="2" borderId="1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0" fontId="10" fillId="0" borderId="0" xfId="0" applyFont="1"/>
    <xf numFmtId="0" fontId="11" fillId="4" borderId="3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3" fillId="5" borderId="21" xfId="0" applyFont="1" applyFill="1" applyBorder="1" applyAlignment="1">
      <alignment horizontal="center" vertical="center"/>
    </xf>
    <xf numFmtId="2" fontId="13" fillId="5" borderId="21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1" fontId="3" fillId="4" borderId="24" xfId="0" applyNumberFormat="1" applyFont="1" applyFill="1" applyBorder="1" applyAlignment="1">
      <alignment horizontal="center" vertical="center"/>
    </xf>
    <xf numFmtId="0" fontId="15" fillId="4" borderId="20" xfId="0" applyFont="1" applyFill="1" applyBorder="1" applyAlignment="1">
      <alignment horizontal="left" vertical="center" wrapText="1"/>
    </xf>
    <xf numFmtId="1" fontId="16" fillId="0" borderId="25" xfId="0" applyNumberFormat="1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28" xfId="0" applyFont="1" applyBorder="1" applyAlignment="1">
      <alignment horizontal="center"/>
    </xf>
    <xf numFmtId="1" fontId="18" fillId="0" borderId="29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1" fontId="0" fillId="0" borderId="33" xfId="0" applyNumberForma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1" fontId="0" fillId="0" borderId="29" xfId="0" applyNumberFormat="1" applyBorder="1" applyAlignment="1">
      <alignment horizontal="center"/>
    </xf>
    <xf numFmtId="0" fontId="0" fillId="0" borderId="35" xfId="0" applyBorder="1" applyAlignment="1">
      <alignment horizontal="center" vertical="center"/>
    </xf>
    <xf numFmtId="1" fontId="16" fillId="0" borderId="18" xfId="0" applyNumberFormat="1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1" fontId="18" fillId="0" borderId="19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" fontId="0" fillId="0" borderId="19" xfId="0" applyNumberForma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1" fontId="0" fillId="3" borderId="0" xfId="0" applyNumberForma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2" fontId="19" fillId="0" borderId="14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20" fillId="0" borderId="19" xfId="0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2" fontId="19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2" fontId="21" fillId="0" borderId="37" xfId="0" applyNumberFormat="1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3" fillId="2" borderId="38" xfId="0" applyFont="1" applyFill="1" applyBorder="1" applyAlignment="1">
      <alignment horizontal="center" vertical="center"/>
    </xf>
    <xf numFmtId="0" fontId="24" fillId="4" borderId="18" xfId="0" applyFont="1" applyFill="1" applyBorder="1" applyAlignment="1">
      <alignment horizontal="center" vertical="center"/>
    </xf>
    <xf numFmtId="0" fontId="24" fillId="4" borderId="15" xfId="0" applyFont="1" applyFill="1" applyBorder="1" applyAlignment="1">
      <alignment horizontal="center" vertical="center"/>
    </xf>
    <xf numFmtId="0" fontId="24" fillId="4" borderId="36" xfId="0" applyFont="1" applyFill="1" applyBorder="1" applyAlignment="1">
      <alignment horizontal="center" vertical="center"/>
    </xf>
    <xf numFmtId="0" fontId="24" fillId="4" borderId="34" xfId="0" applyFont="1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 wrapText="1"/>
    </xf>
    <xf numFmtId="0" fontId="0" fillId="4" borderId="41" xfId="0" applyFill="1" applyBorder="1" applyAlignment="1">
      <alignment horizontal="center" vertical="center" wrapText="1"/>
    </xf>
    <xf numFmtId="0" fontId="0" fillId="4" borderId="42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/>
    </xf>
    <xf numFmtId="0" fontId="0" fillId="6" borderId="14" xfId="0" applyFill="1" applyBorder="1" applyAlignment="1">
      <alignment horizontal="left" vertical="center"/>
    </xf>
    <xf numFmtId="0" fontId="0" fillId="6" borderId="14" xfId="0" applyFill="1" applyBorder="1" applyAlignment="1">
      <alignment horizontal="center" vertical="center"/>
    </xf>
    <xf numFmtId="0" fontId="25" fillId="6" borderId="14" xfId="0" applyFont="1" applyFill="1" applyBorder="1" applyAlignment="1">
      <alignment horizontal="center" vertical="center"/>
    </xf>
    <xf numFmtId="0" fontId="25" fillId="6" borderId="14" xfId="0" applyFont="1" applyFill="1" applyBorder="1" applyAlignment="1">
      <alignment horizontal="center" vertical="center" wrapText="1"/>
    </xf>
    <xf numFmtId="0" fontId="0" fillId="6" borderId="14" xfId="0" applyFill="1" applyBorder="1" applyAlignment="1">
      <alignment vertical="center"/>
    </xf>
    <xf numFmtId="0" fontId="0" fillId="6" borderId="14" xfId="0" applyFill="1" applyBorder="1" applyAlignment="1">
      <alignment horizontal="right" vertical="center"/>
    </xf>
    <xf numFmtId="0" fontId="0" fillId="6" borderId="14" xfId="0" applyFill="1" applyBorder="1" applyAlignment="1">
      <alignment vertical="center" wrapText="1"/>
    </xf>
    <xf numFmtId="0" fontId="25" fillId="6" borderId="15" xfId="0" applyFont="1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/>
    </xf>
    <xf numFmtId="0" fontId="0" fillId="6" borderId="20" xfId="0" applyFill="1" applyBorder="1" applyAlignment="1">
      <alignment horizontal="left" vertical="center"/>
    </xf>
    <xf numFmtId="0" fontId="0" fillId="6" borderId="20" xfId="0" applyFill="1" applyBorder="1" applyAlignment="1">
      <alignment horizontal="center" vertical="center"/>
    </xf>
    <xf numFmtId="0" fontId="25" fillId="6" borderId="20" xfId="0" applyFont="1" applyFill="1" applyBorder="1" applyAlignment="1">
      <alignment horizontal="center" vertical="center"/>
    </xf>
    <xf numFmtId="0" fontId="25" fillId="6" borderId="20" xfId="0" applyFont="1" applyFill="1" applyBorder="1" applyAlignment="1">
      <alignment horizontal="center" vertical="center" wrapText="1"/>
    </xf>
    <xf numFmtId="0" fontId="0" fillId="6" borderId="20" xfId="0" applyFill="1" applyBorder="1" applyAlignment="1">
      <alignment vertical="center"/>
    </xf>
    <xf numFmtId="0" fontId="0" fillId="6" borderId="20" xfId="0" applyFill="1" applyBorder="1" applyAlignment="1">
      <alignment horizontal="right" vertical="center"/>
    </xf>
    <xf numFmtId="0" fontId="0" fillId="6" borderId="20" xfId="0" applyFill="1" applyBorder="1" applyAlignment="1">
      <alignment vertical="center" wrapText="1"/>
    </xf>
    <xf numFmtId="0" fontId="25" fillId="6" borderId="21" xfId="0" applyFont="1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/>
    </xf>
    <xf numFmtId="0" fontId="25" fillId="6" borderId="21" xfId="0" applyFont="1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13" xfId="0" applyFill="1" applyBorder="1" applyAlignment="1">
      <alignment horizontal="left" vertical="center"/>
    </xf>
    <xf numFmtId="0" fontId="0" fillId="6" borderId="13" xfId="0" applyFill="1" applyBorder="1" applyAlignment="1">
      <alignment horizontal="center" vertical="center"/>
    </xf>
    <xf numFmtId="0" fontId="25" fillId="6" borderId="13" xfId="0" applyFont="1" applyFill="1" applyBorder="1" applyAlignment="1">
      <alignment horizontal="center" vertical="center"/>
    </xf>
    <xf numFmtId="0" fontId="25" fillId="6" borderId="13" xfId="0" applyFont="1" applyFill="1" applyBorder="1" applyAlignment="1">
      <alignment horizontal="center" vertical="center" wrapText="1"/>
    </xf>
    <xf numFmtId="0" fontId="25" fillId="6" borderId="17" xfId="0" applyFont="1" applyFill="1" applyBorder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17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4" borderId="4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2" fontId="25" fillId="0" borderId="43" xfId="0" applyNumberFormat="1" applyFont="1" applyBorder="1" applyAlignment="1">
      <alignment horizontal="center" vertical="center"/>
    </xf>
    <xf numFmtId="2" fontId="25" fillId="0" borderId="3" xfId="0" applyNumberFormat="1" applyFont="1" applyBorder="1" applyAlignment="1">
      <alignment horizontal="center" vertical="center" wrapText="1"/>
    </xf>
    <xf numFmtId="2" fontId="25" fillId="0" borderId="43" xfId="0" applyNumberFormat="1" applyFon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/>
    </xf>
    <xf numFmtId="2" fontId="0" fillId="0" borderId="43" xfId="0" applyNumberFormat="1" applyBorder="1" applyAlignment="1">
      <alignment vertical="center"/>
    </xf>
    <xf numFmtId="1" fontId="25" fillId="0" borderId="3" xfId="0" applyNumberFormat="1" applyFont="1" applyBorder="1" applyAlignment="1">
      <alignment horizontal="center" vertical="center" wrapText="1"/>
    </xf>
    <xf numFmtId="1" fontId="25" fillId="0" borderId="44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38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26" fillId="0" borderId="0" xfId="0" applyFont="1"/>
    <xf numFmtId="165" fontId="0" fillId="0" borderId="69" xfId="0" applyNumberFormat="1" applyBorder="1" applyAlignment="1">
      <alignment horizontal="center" vertical="center"/>
    </xf>
    <xf numFmtId="165" fontId="0" fillId="0" borderId="70" xfId="0" applyNumberFormat="1" applyBorder="1" applyAlignment="1">
      <alignment horizontal="center" vertical="center"/>
    </xf>
    <xf numFmtId="0" fontId="0" fillId="4" borderId="55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58" xfId="0" applyFill="1" applyBorder="1" applyAlignment="1">
      <alignment horizontal="center" vertical="center" wrapText="1"/>
    </xf>
    <xf numFmtId="0" fontId="0" fillId="4" borderId="62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39" xfId="0" applyFill="1" applyBorder="1" applyAlignment="1">
      <alignment horizontal="center" vertical="center" wrapText="1"/>
    </xf>
    <xf numFmtId="0" fontId="0" fillId="4" borderId="59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14" fillId="7" borderId="63" xfId="0" applyFont="1" applyFill="1" applyBorder="1" applyAlignment="1">
      <alignment horizontal="center" vertical="center"/>
    </xf>
    <xf numFmtId="0" fontId="14" fillId="7" borderId="64" xfId="0" applyFont="1" applyFill="1" applyBorder="1" applyAlignment="1">
      <alignment horizontal="center" vertical="center"/>
    </xf>
    <xf numFmtId="0" fontId="14" fillId="7" borderId="65" xfId="0" applyFont="1" applyFill="1" applyBorder="1" applyAlignment="1">
      <alignment horizontal="center" vertical="center"/>
    </xf>
    <xf numFmtId="0" fontId="14" fillId="7" borderId="66" xfId="0" applyFont="1" applyFill="1" applyBorder="1" applyAlignment="1">
      <alignment horizontal="center" vertical="center"/>
    </xf>
    <xf numFmtId="0" fontId="14" fillId="7" borderId="67" xfId="0" applyFont="1" applyFill="1" applyBorder="1" applyAlignment="1">
      <alignment horizontal="center" vertical="center"/>
    </xf>
    <xf numFmtId="0" fontId="14" fillId="7" borderId="68" xfId="0" applyFont="1" applyFill="1" applyBorder="1" applyAlignment="1">
      <alignment horizontal="center" vertical="center"/>
    </xf>
    <xf numFmtId="0" fontId="0" fillId="4" borderId="55" xfId="0" applyFill="1" applyBorder="1" applyAlignment="1">
      <alignment horizontal="center" vertical="center" textRotation="90"/>
    </xf>
    <xf numFmtId="0" fontId="0" fillId="4" borderId="4" xfId="0" applyFill="1" applyBorder="1" applyAlignment="1">
      <alignment horizontal="center" vertical="center" textRotation="90"/>
    </xf>
    <xf numFmtId="0" fontId="0" fillId="4" borderId="5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60" xfId="0" applyFill="1" applyBorder="1" applyAlignment="1">
      <alignment horizontal="center" vertical="center"/>
    </xf>
    <xf numFmtId="0" fontId="0" fillId="4" borderId="61" xfId="0" applyFill="1" applyBorder="1" applyAlignment="1">
      <alignment horizontal="center" vertical="center"/>
    </xf>
    <xf numFmtId="0" fontId="14" fillId="7" borderId="49" xfId="0" applyFont="1" applyFill="1" applyBorder="1" applyAlignment="1">
      <alignment horizontal="center" vertical="center"/>
    </xf>
    <xf numFmtId="0" fontId="14" fillId="7" borderId="41" xfId="0" applyFont="1" applyFill="1" applyBorder="1" applyAlignment="1">
      <alignment horizontal="center" vertical="center"/>
    </xf>
    <xf numFmtId="0" fontId="14" fillId="7" borderId="42" xfId="0" applyFont="1" applyFill="1" applyBorder="1" applyAlignment="1">
      <alignment horizontal="center" vertical="center"/>
    </xf>
    <xf numFmtId="0" fontId="14" fillId="7" borderId="58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43" xfId="0" applyFont="1" applyFill="1" applyBorder="1" applyAlignment="1">
      <alignment horizontal="center" vertical="center"/>
    </xf>
    <xf numFmtId="0" fontId="4" fillId="7" borderId="45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4" borderId="46" xfId="0" applyFont="1" applyFill="1" applyBorder="1" applyAlignment="1">
      <alignment horizontal="center" vertical="center"/>
    </xf>
    <xf numFmtId="0" fontId="0" fillId="0" borderId="47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9" fillId="4" borderId="49" xfId="0" applyFont="1" applyFill="1" applyBorder="1" applyAlignment="1">
      <alignment horizontal="center" vertical="center"/>
    </xf>
    <xf numFmtId="0" fontId="9" fillId="4" borderId="41" xfId="0" applyFont="1" applyFill="1" applyBorder="1" applyAlignment="1">
      <alignment horizontal="center" vertical="center"/>
    </xf>
    <xf numFmtId="0" fontId="9" fillId="4" borderId="42" xfId="0" applyFont="1" applyFill="1" applyBorder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0" fontId="0" fillId="4" borderId="54" xfId="0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2" fillId="4" borderId="40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4" borderId="40" xfId="0" applyFont="1" applyFill="1" applyBorder="1" applyAlignment="1">
      <alignment horizontal="center" vertical="center" wrapText="1"/>
    </xf>
    <xf numFmtId="0" fontId="3" fillId="4" borderId="5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0" borderId="56" xfId="0" applyFont="1" applyBorder="1" applyAlignment="1">
      <alignment horizontal="left" vertical="center"/>
    </xf>
    <xf numFmtId="0" fontId="5" fillId="0" borderId="57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DT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 for sizing HDT "/>
      <sheetName val="Vessel Weights"/>
      <sheetName val="Cover"/>
      <sheetName val="Dryer Data Sheet"/>
      <sheetName val="Evaluation Warning"/>
    </sheetNames>
    <sheetDataSet>
      <sheetData sheetId="0"/>
      <sheetData sheetId="1">
        <row r="21">
          <cell r="D21">
            <v>10</v>
          </cell>
        </row>
        <row r="46">
          <cell r="D46">
            <v>10</v>
          </cell>
        </row>
        <row r="59">
          <cell r="P59">
            <v>44.4</v>
          </cell>
        </row>
        <row r="62">
          <cell r="P62">
            <v>19.625</v>
          </cell>
        </row>
        <row r="65">
          <cell r="P65">
            <v>76.302000000000007</v>
          </cell>
        </row>
        <row r="68">
          <cell r="P68">
            <v>250</v>
          </cell>
        </row>
        <row r="75">
          <cell r="T75">
            <v>548.55364451297169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7"/>
  <sheetViews>
    <sheetView topLeftCell="A43" workbookViewId="0">
      <selection activeCell="D11" sqref="D11:E11"/>
    </sheetView>
  </sheetViews>
  <sheetFormatPr defaultRowHeight="15" x14ac:dyDescent="0.25"/>
  <cols>
    <col min="4" max="4" width="11.42578125" bestFit="1" customWidth="1"/>
    <col min="5" max="5" width="19.7109375" bestFit="1" customWidth="1"/>
    <col min="7" max="7" width="13.5703125" bestFit="1" customWidth="1"/>
  </cols>
  <sheetData>
    <row r="1" spans="1:18" ht="15.75" thickBot="1" x14ac:dyDescent="0.3"/>
    <row r="2" spans="1:18" ht="19.5" thickBot="1" x14ac:dyDescent="0.3">
      <c r="B2" s="208" t="s">
        <v>0</v>
      </c>
      <c r="C2" s="209"/>
      <c r="D2" s="1" t="s">
        <v>1</v>
      </c>
      <c r="E2" s="2"/>
    </row>
    <row r="3" spans="1:18" ht="19.5" thickBot="1" x14ac:dyDescent="0.3">
      <c r="B3" s="208" t="s">
        <v>2</v>
      </c>
      <c r="C3" s="209"/>
      <c r="D3" s="3">
        <v>43869</v>
      </c>
      <c r="E3" s="4"/>
    </row>
    <row r="4" spans="1:18" ht="19.5" thickBot="1" x14ac:dyDescent="0.3">
      <c r="B4" s="208" t="s">
        <v>3</v>
      </c>
      <c r="C4" s="209"/>
      <c r="D4" s="5">
        <v>0</v>
      </c>
      <c r="E4" s="4"/>
    </row>
    <row r="5" spans="1:18" ht="19.5" thickBot="1" x14ac:dyDescent="0.3">
      <c r="B5" s="6"/>
      <c r="C5" s="6"/>
      <c r="D5" s="7"/>
      <c r="E5" s="8"/>
    </row>
    <row r="6" spans="1:18" ht="19.5" thickBot="1" x14ac:dyDescent="0.3">
      <c r="B6" s="208" t="s">
        <v>4</v>
      </c>
      <c r="C6" s="209"/>
      <c r="D6" s="9">
        <v>10</v>
      </c>
      <c r="E6" s="10" t="s">
        <v>5</v>
      </c>
      <c r="F6" s="11"/>
      <c r="G6" s="11"/>
      <c r="H6" s="11"/>
      <c r="I6" s="11"/>
      <c r="J6" s="11"/>
    </row>
    <row r="7" spans="1:18" ht="19.5" thickBot="1" x14ac:dyDescent="0.3">
      <c r="B7" s="208" t="s">
        <v>6</v>
      </c>
      <c r="C7" s="209"/>
      <c r="D7" s="12">
        <v>35</v>
      </c>
      <c r="E7" s="13" t="s">
        <v>7</v>
      </c>
      <c r="F7" s="11"/>
      <c r="G7" s="11"/>
      <c r="H7" s="11"/>
      <c r="I7" s="11"/>
      <c r="J7" s="11"/>
    </row>
    <row r="8" spans="1:18" ht="27" thickBot="1" x14ac:dyDescent="0.3">
      <c r="B8" s="208" t="s">
        <v>8</v>
      </c>
      <c r="C8" s="209"/>
      <c r="D8" s="12">
        <v>2000</v>
      </c>
      <c r="E8" s="13" t="s">
        <v>9</v>
      </c>
      <c r="F8" s="11"/>
      <c r="G8" s="14">
        <v>-20</v>
      </c>
      <c r="H8" s="15" t="s">
        <v>10</v>
      </c>
      <c r="I8" s="11"/>
      <c r="J8" s="11"/>
    </row>
    <row r="9" spans="1:18" ht="27" thickBot="1" x14ac:dyDescent="0.3">
      <c r="B9" s="208" t="s">
        <v>11</v>
      </c>
      <c r="C9" s="209"/>
      <c r="D9" s="12"/>
      <c r="E9" s="13" t="s">
        <v>12</v>
      </c>
      <c r="F9" s="11"/>
      <c r="G9" s="16">
        <v>-40</v>
      </c>
      <c r="H9" s="17" t="s">
        <v>13</v>
      </c>
      <c r="I9" s="11"/>
      <c r="J9" s="11"/>
    </row>
    <row r="10" spans="1:18" ht="27" thickBot="1" x14ac:dyDescent="0.3">
      <c r="B10" s="208" t="s">
        <v>14</v>
      </c>
      <c r="C10" s="209"/>
      <c r="D10" s="12"/>
      <c r="E10" s="13" t="s">
        <v>7</v>
      </c>
      <c r="F10" s="11"/>
      <c r="G10" s="18">
        <v>-60</v>
      </c>
      <c r="H10" s="19" t="s">
        <v>15</v>
      </c>
      <c r="I10" s="11"/>
      <c r="J10" s="11"/>
    </row>
    <row r="11" spans="1:18" ht="33.75" customHeight="1" thickBot="1" x14ac:dyDescent="0.3">
      <c r="B11" s="208" t="s">
        <v>16</v>
      </c>
      <c r="C11" s="209"/>
      <c r="D11" s="210" t="s">
        <v>17</v>
      </c>
      <c r="E11" s="211"/>
      <c r="F11" s="11"/>
      <c r="G11" s="20"/>
      <c r="H11" s="20"/>
      <c r="I11" s="11"/>
      <c r="J11" s="11"/>
    </row>
    <row r="12" spans="1:18" ht="42.75" customHeight="1" thickBot="1" x14ac:dyDescent="0.3">
      <c r="B12" s="208" t="s">
        <v>18</v>
      </c>
      <c r="C12" s="209"/>
      <c r="D12" s="210" t="s">
        <v>19</v>
      </c>
      <c r="E12" s="211"/>
      <c r="F12" s="11"/>
      <c r="G12" s="20"/>
      <c r="H12" s="20"/>
      <c r="I12" s="11"/>
      <c r="J12" s="11"/>
    </row>
    <row r="13" spans="1:18" x14ac:dyDescent="0.25">
      <c r="F13" s="21"/>
      <c r="I13" s="22"/>
    </row>
    <row r="14" spans="1:18" ht="15.75" thickBot="1" x14ac:dyDescent="0.3">
      <c r="A14" s="23"/>
      <c r="B14" s="23"/>
      <c r="C14" s="23"/>
      <c r="D14" s="23"/>
      <c r="E14" s="23"/>
      <c r="F14" s="24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</row>
    <row r="15" spans="1:18" ht="16.5" thickBot="1" x14ac:dyDescent="0.3">
      <c r="A15" s="23"/>
      <c r="B15" s="184" t="s">
        <v>20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</row>
    <row r="16" spans="1:18" x14ac:dyDescent="0.25">
      <c r="A16" s="23"/>
      <c r="B16" s="186" t="s">
        <v>21</v>
      </c>
      <c r="C16" s="187"/>
      <c r="D16" s="188"/>
      <c r="E16" s="25">
        <v>4</v>
      </c>
      <c r="F16" s="25">
        <v>5</v>
      </c>
      <c r="G16" s="25">
        <v>6</v>
      </c>
      <c r="H16" s="25">
        <v>7</v>
      </c>
      <c r="I16" s="25">
        <v>8</v>
      </c>
      <c r="J16" s="25">
        <v>9</v>
      </c>
      <c r="K16" s="25">
        <v>10</v>
      </c>
      <c r="L16" s="25">
        <v>11</v>
      </c>
      <c r="M16" s="25">
        <v>12</v>
      </c>
      <c r="N16" s="25">
        <v>13</v>
      </c>
      <c r="O16" s="25">
        <v>14</v>
      </c>
      <c r="P16" s="25">
        <v>15</v>
      </c>
      <c r="Q16" s="25">
        <v>16</v>
      </c>
    </row>
    <row r="17" spans="1:17" ht="15.75" thickBot="1" x14ac:dyDescent="0.3">
      <c r="A17" s="23"/>
      <c r="B17" s="189" t="s">
        <v>20</v>
      </c>
      <c r="C17" s="190"/>
      <c r="D17" s="190"/>
      <c r="E17" s="26">
        <v>0.62</v>
      </c>
      <c r="F17" s="26">
        <v>0.77</v>
      </c>
      <c r="G17" s="26">
        <v>0.9</v>
      </c>
      <c r="H17" s="26">
        <v>1</v>
      </c>
      <c r="I17" s="26">
        <v>1.0900000000000001</v>
      </c>
      <c r="J17" s="26">
        <v>1.17</v>
      </c>
      <c r="K17" s="26">
        <v>1.24</v>
      </c>
      <c r="L17" s="26">
        <v>1.31</v>
      </c>
      <c r="M17" s="26">
        <v>1.37</v>
      </c>
      <c r="N17" s="26">
        <v>1.42</v>
      </c>
      <c r="O17" s="26">
        <v>1.47</v>
      </c>
      <c r="P17" s="26">
        <v>1.52</v>
      </c>
      <c r="Q17" s="26">
        <v>1.56</v>
      </c>
    </row>
    <row r="18" spans="1:17" ht="15.75" thickBot="1" x14ac:dyDescent="0.3">
      <c r="A18" s="23"/>
    </row>
    <row r="19" spans="1:17" ht="16.5" thickBot="1" x14ac:dyDescent="0.3">
      <c r="A19" s="23"/>
      <c r="B19" s="191" t="s">
        <v>20</v>
      </c>
      <c r="C19" s="192"/>
      <c r="D19" s="192"/>
      <c r="E19" s="192"/>
      <c r="F19" s="192"/>
      <c r="G19" s="192"/>
      <c r="H19" s="192"/>
      <c r="I19" s="192"/>
      <c r="J19" s="192"/>
      <c r="K19" s="192"/>
      <c r="L19" s="193"/>
      <c r="N19" s="194" t="s">
        <v>22</v>
      </c>
      <c r="O19" s="196" t="s">
        <v>23</v>
      </c>
      <c r="P19" s="197"/>
      <c r="Q19" s="198"/>
    </row>
    <row r="20" spans="1:17" ht="15.75" thickBot="1" x14ac:dyDescent="0.3">
      <c r="A20" s="23"/>
      <c r="B20" s="199" t="s">
        <v>24</v>
      </c>
      <c r="C20" s="200"/>
      <c r="D20" s="200"/>
      <c r="E20" s="27" t="s">
        <v>25</v>
      </c>
      <c r="F20" s="27">
        <v>30</v>
      </c>
      <c r="G20" s="27">
        <v>35</v>
      </c>
      <c r="H20" s="27">
        <v>40</v>
      </c>
      <c r="I20" s="27">
        <v>45</v>
      </c>
      <c r="J20" s="27">
        <v>50</v>
      </c>
      <c r="K20" s="27">
        <v>55</v>
      </c>
      <c r="L20" s="28">
        <v>60</v>
      </c>
      <c r="N20" s="195"/>
      <c r="O20" s="29" t="s">
        <v>26</v>
      </c>
      <c r="P20" s="30" t="s">
        <v>27</v>
      </c>
      <c r="Q20" s="31" t="s">
        <v>28</v>
      </c>
    </row>
    <row r="21" spans="1:17" ht="15.75" thickBot="1" x14ac:dyDescent="0.3">
      <c r="A21" s="23"/>
      <c r="B21" s="189" t="s">
        <v>20</v>
      </c>
      <c r="C21" s="190"/>
      <c r="D21" s="190"/>
      <c r="E21" s="26">
        <v>1.1200000000000001</v>
      </c>
      <c r="F21" s="26">
        <v>1.06</v>
      </c>
      <c r="G21" s="26">
        <v>1</v>
      </c>
      <c r="H21" s="26">
        <v>0.93</v>
      </c>
      <c r="I21" s="26">
        <v>0.86</v>
      </c>
      <c r="J21" s="26">
        <v>0.78</v>
      </c>
      <c r="K21" s="26">
        <v>0.7</v>
      </c>
      <c r="L21" s="32">
        <v>0.6</v>
      </c>
      <c r="N21" s="33" t="s">
        <v>29</v>
      </c>
      <c r="O21" s="27">
        <v>320</v>
      </c>
      <c r="P21" s="27">
        <f t="shared" ref="P21:P45" si="0">0.06*O21</f>
        <v>19.2</v>
      </c>
      <c r="Q21" s="34">
        <f t="shared" ref="Q21:Q45" si="1">O21*0.03531467</f>
        <v>11.300694399999999</v>
      </c>
    </row>
    <row r="22" spans="1:17" x14ac:dyDescent="0.25">
      <c r="A22" s="23"/>
      <c r="N22" s="35" t="s">
        <v>30</v>
      </c>
      <c r="O22" s="36">
        <v>530</v>
      </c>
      <c r="P22" s="36">
        <f t="shared" si="0"/>
        <v>31.799999999999997</v>
      </c>
      <c r="Q22" s="37">
        <f t="shared" si="1"/>
        <v>18.7167751</v>
      </c>
    </row>
    <row r="23" spans="1:17" ht="15.75" thickBot="1" x14ac:dyDescent="0.3">
      <c r="A23" s="23"/>
      <c r="B23" s="38" t="s">
        <v>31</v>
      </c>
      <c r="E23" s="38" t="s">
        <v>31</v>
      </c>
      <c r="N23" s="35" t="s">
        <v>32</v>
      </c>
      <c r="O23" s="36">
        <v>760</v>
      </c>
      <c r="P23" s="36">
        <f t="shared" si="0"/>
        <v>45.6</v>
      </c>
      <c r="Q23" s="37">
        <f t="shared" si="1"/>
        <v>26.839149199999998</v>
      </c>
    </row>
    <row r="24" spans="1:17" ht="15.75" thickBot="1" x14ac:dyDescent="0.3">
      <c r="A24" s="23"/>
      <c r="B24" s="39" t="s">
        <v>33</v>
      </c>
      <c r="C24" s="40" t="s">
        <v>34</v>
      </c>
      <c r="E24" s="41" t="s">
        <v>35</v>
      </c>
      <c r="F24" s="42" t="s">
        <v>34</v>
      </c>
      <c r="N24" s="35" t="s">
        <v>36</v>
      </c>
      <c r="O24" s="36">
        <v>1200</v>
      </c>
      <c r="P24" s="36">
        <f t="shared" si="0"/>
        <v>72</v>
      </c>
      <c r="Q24" s="37">
        <f t="shared" si="1"/>
        <v>42.377603999999998</v>
      </c>
    </row>
    <row r="25" spans="1:17" x14ac:dyDescent="0.25">
      <c r="A25" s="23"/>
      <c r="B25" s="43">
        <f>ROUNDDOWN(B26,0)</f>
        <v>10</v>
      </c>
      <c r="C25" s="28">
        <f>IF(B25=E16,E17,IF(B25=F16,F17,IF(B25=G16,G17,IF(B25=H16,H17,IF(B25=I16,I17,IF(B25=J16,J17,IF(B25=K16,K17,IF(B25=L16,L17,IF(B25=M16,M17,IF(B25=N16,N17,IF(B25=O16,O17,IF(B25=P16,P17,IF(B25=Q16,Q17)))))))))))))</f>
        <v>1.24</v>
      </c>
      <c r="E25" s="43">
        <f>IF($E$26&lt;=25,25,IF($E$26&lt;30,25,IF($E$26&lt;35,30,IF($E$26&lt;40,35,IF($E$26&lt;45,40,IF($E$26&lt;50,45,IF($E$26&lt;55,50,IF($E$26&lt;60,55))))))))</f>
        <v>35</v>
      </c>
      <c r="F25" s="28">
        <f>IF($E$25=25,$E$21,IF($E$25=$F$20,$F$21,IF($E$25=$G$20,$G$21,IF($E$25=H20,H21,IF($E$25=$I$20,$I$21,IF($E$25=$J$20,$J$21,IF($E$25=$K$20,$K$21,IF($E$25=$L$20,$L$21))))))))</f>
        <v>1</v>
      </c>
      <c r="N25" s="35" t="s">
        <v>37</v>
      </c>
      <c r="O25" s="36">
        <v>1850</v>
      </c>
      <c r="P25" s="36">
        <f t="shared" si="0"/>
        <v>111</v>
      </c>
      <c r="Q25" s="37">
        <f t="shared" si="1"/>
        <v>65.332139499999997</v>
      </c>
    </row>
    <row r="26" spans="1:17" x14ac:dyDescent="0.25">
      <c r="A26" s="23"/>
      <c r="B26" s="44">
        <f>$D$6</f>
        <v>10</v>
      </c>
      <c r="C26" s="45">
        <f>IF(B26=E16,E17,IF(B26=F16,F17,IF(B26=G16,G17,IF(B26=H16,H17,IF(B26=I16,I17,IF(B26=J16,J17,IF(B26=K16,K17,IF(B26=L16,L17,IF(B26=M16,M17,IF(B26=N16,N17,IF(B26=O16,O17,IF(B26=P16,P17,IF(B26=Q16,Q17,(((B26-B25)*(C27-C25))/(B27-B25))+C25)))))))))))))</f>
        <v>1.24</v>
      </c>
      <c r="E26" s="44">
        <f>$D$7</f>
        <v>35</v>
      </c>
      <c r="F26" s="46">
        <f>IF($E$26=$F$20,$F$21,IF($E$26=$G$20,$G$21,IF($E$26=$H$20,$H$21,IF($E$26=$H$20,$H$21,IF($E$26=$I$20,$I$21,IF($E$26=$J$20,$J$21,IF($E$26=$K$20,$K$21,IF($E$26=$L$20,$L$21,((($E$26-$E$25)*($F$27-$F$25))/($E$27-$E$25))+$F$25))))))))</f>
        <v>1</v>
      </c>
      <c r="N26" s="35" t="s">
        <v>38</v>
      </c>
      <c r="O26" s="36">
        <v>2500</v>
      </c>
      <c r="P26" s="36">
        <f t="shared" si="0"/>
        <v>150</v>
      </c>
      <c r="Q26" s="37">
        <f t="shared" si="1"/>
        <v>88.286675000000002</v>
      </c>
    </row>
    <row r="27" spans="1:17" ht="15.75" thickBot="1" x14ac:dyDescent="0.3">
      <c r="A27" s="23"/>
      <c r="B27" s="47">
        <f>ROUNDUP(B26,0)</f>
        <v>10</v>
      </c>
      <c r="C27" s="32">
        <f>IF(B27=E16,E17,IF(B27=F16,F17,IF(B27=G16,G17,IF(B27=H16,H17,IF(B27=I16,I17,IF(B27=J16,J17,IF(B27=K16,K17,IF(B27=L16,L17,IF(B27=M16,M17,IF(B27=N16,N17,IF(B27=O16,O17,IF(B27=P16,P17,IF(B27=Q16,Q17)))))))))))))</f>
        <v>1.24</v>
      </c>
      <c r="E27" s="47">
        <f>$E$25+5</f>
        <v>40</v>
      </c>
      <c r="F27" s="32">
        <f>IF($E$27=25,$E$21,IF($E$27=$F$20,$F$21,IF($E$27=$G$20,$G$21,IF($E$27=$H$20,$H$21,IF($E$27=$I$20,$I$21,IF($E$27=$J$20,$J$21,IF($E$27=$K$20,$K$21,IF($E$27=$L$20,$L$21))))))))</f>
        <v>0.93</v>
      </c>
      <c r="N27" s="35" t="s">
        <v>39</v>
      </c>
      <c r="O27" s="36">
        <v>3000</v>
      </c>
      <c r="P27" s="36">
        <f t="shared" si="0"/>
        <v>180</v>
      </c>
      <c r="Q27" s="37">
        <f t="shared" si="1"/>
        <v>105.94400999999999</v>
      </c>
    </row>
    <row r="28" spans="1:17" ht="15.75" thickBot="1" x14ac:dyDescent="0.3">
      <c r="A28" s="23"/>
      <c r="N28" s="35" t="s">
        <v>40</v>
      </c>
      <c r="O28" s="36">
        <v>3900</v>
      </c>
      <c r="P28" s="36">
        <f t="shared" si="0"/>
        <v>234</v>
      </c>
      <c r="Q28" s="37">
        <f t="shared" si="1"/>
        <v>137.72721300000001</v>
      </c>
    </row>
    <row r="29" spans="1:17" ht="19.5" thickBot="1" x14ac:dyDescent="0.3">
      <c r="A29" s="23"/>
      <c r="E29" s="201" t="s">
        <v>41</v>
      </c>
      <c r="F29" s="48"/>
      <c r="N29" s="35" t="s">
        <v>42</v>
      </c>
      <c r="O29" s="36">
        <v>5000</v>
      </c>
      <c r="P29" s="36">
        <f t="shared" si="0"/>
        <v>300</v>
      </c>
      <c r="Q29" s="37">
        <f t="shared" si="1"/>
        <v>176.57335</v>
      </c>
    </row>
    <row r="30" spans="1:17" ht="16.5" thickBot="1" x14ac:dyDescent="0.3">
      <c r="A30" s="23"/>
      <c r="C30" s="49" t="s">
        <v>43</v>
      </c>
      <c r="D30" s="50" t="s">
        <v>44</v>
      </c>
      <c r="E30" s="202"/>
      <c r="F30" s="51"/>
      <c r="H30" s="203" t="s">
        <v>45</v>
      </c>
      <c r="I30" s="52" t="s">
        <v>43</v>
      </c>
      <c r="J30" s="53" t="s">
        <v>44</v>
      </c>
      <c r="N30" s="35" t="s">
        <v>46</v>
      </c>
      <c r="O30" s="36">
        <v>6200</v>
      </c>
      <c r="P30" s="36">
        <f t="shared" si="0"/>
        <v>372</v>
      </c>
      <c r="Q30" s="37">
        <f t="shared" si="1"/>
        <v>218.950954</v>
      </c>
    </row>
    <row r="31" spans="1:17" ht="45" x14ac:dyDescent="0.3">
      <c r="A31" s="23"/>
      <c r="B31" s="54" t="s">
        <v>47</v>
      </c>
      <c r="C31" s="55" t="s">
        <v>48</v>
      </c>
      <c r="D31" s="56">
        <v>5</v>
      </c>
      <c r="E31" s="57">
        <v>1.2</v>
      </c>
      <c r="F31" s="58">
        <f>D31+E31</f>
        <v>6.2</v>
      </c>
      <c r="H31" s="204"/>
      <c r="I31" s="55" t="s">
        <v>49</v>
      </c>
      <c r="J31" s="59">
        <v>4</v>
      </c>
      <c r="N31" s="35" t="s">
        <v>50</v>
      </c>
      <c r="O31" s="36">
        <v>7500</v>
      </c>
      <c r="P31" s="36">
        <f t="shared" si="0"/>
        <v>450</v>
      </c>
      <c r="Q31" s="37">
        <f t="shared" si="1"/>
        <v>264.86002500000001</v>
      </c>
    </row>
    <row r="32" spans="1:17" ht="45" x14ac:dyDescent="0.25">
      <c r="A32" s="23"/>
      <c r="B32" s="54" t="s">
        <v>51</v>
      </c>
      <c r="C32" s="60" t="s">
        <v>52</v>
      </c>
      <c r="D32" s="61">
        <v>7</v>
      </c>
      <c r="E32" s="62">
        <v>1.3</v>
      </c>
      <c r="F32" s="58">
        <f>D32+E32</f>
        <v>8.3000000000000007</v>
      </c>
      <c r="H32" s="204"/>
      <c r="I32" s="60" t="s">
        <v>53</v>
      </c>
      <c r="J32" s="63">
        <v>4.5</v>
      </c>
      <c r="N32" s="35" t="s">
        <v>54</v>
      </c>
      <c r="O32" s="36">
        <v>9000</v>
      </c>
      <c r="P32" s="36">
        <f t="shared" si="0"/>
        <v>540</v>
      </c>
      <c r="Q32" s="37">
        <f t="shared" si="1"/>
        <v>317.83202999999997</v>
      </c>
    </row>
    <row r="33" spans="1:18" ht="33.75" x14ac:dyDescent="0.25">
      <c r="A33" s="23"/>
      <c r="B33" s="54" t="s">
        <v>55</v>
      </c>
      <c r="C33" s="60" t="s">
        <v>56</v>
      </c>
      <c r="D33" s="61">
        <v>10</v>
      </c>
      <c r="E33" s="62">
        <v>2.1</v>
      </c>
      <c r="F33" s="58">
        <f>D33+E33</f>
        <v>12.1</v>
      </c>
      <c r="H33" s="204"/>
      <c r="I33" s="60" t="s">
        <v>57</v>
      </c>
      <c r="J33" s="63">
        <v>5</v>
      </c>
      <c r="N33" s="35" t="s">
        <v>58</v>
      </c>
      <c r="O33" s="36">
        <v>12800</v>
      </c>
      <c r="P33" s="36">
        <f t="shared" si="0"/>
        <v>768</v>
      </c>
      <c r="Q33" s="37">
        <f t="shared" si="1"/>
        <v>452.02777600000002</v>
      </c>
    </row>
    <row r="34" spans="1:18" ht="45.75" thickBot="1" x14ac:dyDescent="0.3">
      <c r="A34" s="23"/>
      <c r="B34" s="54" t="s">
        <v>59</v>
      </c>
      <c r="C34" s="64" t="s">
        <v>60</v>
      </c>
      <c r="D34" s="65">
        <v>15</v>
      </c>
      <c r="E34" s="66">
        <v>4.2</v>
      </c>
      <c r="F34" s="58">
        <f>D34+E34</f>
        <v>19.2</v>
      </c>
      <c r="H34" s="204"/>
      <c r="I34" s="67" t="s">
        <v>61</v>
      </c>
      <c r="J34" s="68">
        <v>9</v>
      </c>
      <c r="N34" s="35" t="s">
        <v>62</v>
      </c>
      <c r="O34" s="36">
        <v>16200</v>
      </c>
      <c r="P34" s="36">
        <f t="shared" si="0"/>
        <v>972</v>
      </c>
      <c r="Q34" s="37">
        <f t="shared" si="1"/>
        <v>572.09765400000003</v>
      </c>
    </row>
    <row r="35" spans="1:18" ht="15.75" thickBot="1" x14ac:dyDescent="0.3">
      <c r="A35" s="23"/>
      <c r="E35" s="69"/>
      <c r="H35" s="204"/>
      <c r="I35" s="70" t="s">
        <v>63</v>
      </c>
      <c r="J35" s="63">
        <v>14</v>
      </c>
      <c r="N35" s="35" t="s">
        <v>64</v>
      </c>
      <c r="O35" s="36">
        <v>20500</v>
      </c>
      <c r="P35" s="36">
        <f t="shared" si="0"/>
        <v>1230</v>
      </c>
      <c r="Q35" s="37">
        <f t="shared" si="1"/>
        <v>723.95073500000001</v>
      </c>
    </row>
    <row r="36" spans="1:18" ht="16.5" thickBot="1" x14ac:dyDescent="0.3">
      <c r="A36" s="23"/>
      <c r="B36" s="203" t="s">
        <v>45</v>
      </c>
      <c r="C36" s="52" t="s">
        <v>43</v>
      </c>
      <c r="D36" s="53" t="s">
        <v>44</v>
      </c>
      <c r="E36" s="69"/>
      <c r="H36" s="204"/>
      <c r="I36" s="70" t="s">
        <v>65</v>
      </c>
      <c r="J36" s="63">
        <v>14</v>
      </c>
      <c r="N36" s="35" t="s">
        <v>66</v>
      </c>
      <c r="O36" s="71">
        <v>25500</v>
      </c>
      <c r="P36" s="36">
        <f t="shared" si="0"/>
        <v>1530</v>
      </c>
      <c r="Q36" s="37">
        <f t="shared" si="1"/>
        <v>900.52408500000001</v>
      </c>
    </row>
    <row r="37" spans="1:18" ht="18" thickBot="1" x14ac:dyDescent="0.3">
      <c r="A37" s="23"/>
      <c r="B37" s="204"/>
      <c r="C37" s="72" t="s">
        <v>48</v>
      </c>
      <c r="D37" s="73">
        <v>5</v>
      </c>
      <c r="H37" s="205"/>
      <c r="I37" s="64" t="s">
        <v>67</v>
      </c>
      <c r="J37" s="74">
        <v>22</v>
      </c>
      <c r="N37" s="35" t="s">
        <v>68</v>
      </c>
      <c r="O37" s="36">
        <v>30000</v>
      </c>
      <c r="P37" s="36">
        <f t="shared" si="0"/>
        <v>1800</v>
      </c>
      <c r="Q37" s="37">
        <f t="shared" si="1"/>
        <v>1059.4401</v>
      </c>
    </row>
    <row r="38" spans="1:18" ht="15.75" x14ac:dyDescent="0.25">
      <c r="A38" s="23"/>
      <c r="B38" s="204"/>
      <c r="C38" s="75" t="s">
        <v>52</v>
      </c>
      <c r="D38" s="76">
        <v>7</v>
      </c>
      <c r="N38" s="35" t="s">
        <v>69</v>
      </c>
      <c r="O38" s="36">
        <v>36000</v>
      </c>
      <c r="P38" s="36">
        <f t="shared" si="0"/>
        <v>2160</v>
      </c>
      <c r="Q38" s="37">
        <f t="shared" si="1"/>
        <v>1271.3281199999999</v>
      </c>
    </row>
    <row r="39" spans="1:18" ht="15.75" x14ac:dyDescent="0.25">
      <c r="A39" s="23"/>
      <c r="B39" s="204"/>
      <c r="C39" s="75" t="s">
        <v>56</v>
      </c>
      <c r="D39" s="76">
        <v>10</v>
      </c>
      <c r="N39" s="35" t="s">
        <v>70</v>
      </c>
      <c r="O39" s="36">
        <v>42000</v>
      </c>
      <c r="P39" s="36">
        <f t="shared" si="0"/>
        <v>2520</v>
      </c>
      <c r="Q39" s="37">
        <f t="shared" si="1"/>
        <v>1483.21614</v>
      </c>
    </row>
    <row r="40" spans="1:18" x14ac:dyDescent="0.25">
      <c r="A40" s="23"/>
      <c r="B40" s="204"/>
      <c r="C40" s="77" t="s">
        <v>71</v>
      </c>
      <c r="D40" s="76">
        <v>18</v>
      </c>
      <c r="N40" s="35" t="s">
        <v>72</v>
      </c>
      <c r="O40" s="36">
        <v>45600</v>
      </c>
      <c r="P40" s="36">
        <f t="shared" si="0"/>
        <v>2736</v>
      </c>
      <c r="Q40" s="37">
        <f t="shared" si="1"/>
        <v>1610.3489520000001</v>
      </c>
    </row>
    <row r="41" spans="1:18" x14ac:dyDescent="0.25">
      <c r="A41" s="23"/>
      <c r="B41" s="204"/>
      <c r="C41" s="77" t="s">
        <v>49</v>
      </c>
      <c r="D41" s="76">
        <v>19</v>
      </c>
      <c r="N41" s="35" t="s">
        <v>73</v>
      </c>
      <c r="O41" s="36">
        <v>62500</v>
      </c>
      <c r="P41" s="36">
        <f t="shared" si="0"/>
        <v>3750</v>
      </c>
      <c r="Q41" s="37">
        <f t="shared" si="1"/>
        <v>2207.1668749999999</v>
      </c>
    </row>
    <row r="42" spans="1:18" x14ac:dyDescent="0.25">
      <c r="A42" s="23"/>
      <c r="B42" s="204"/>
      <c r="C42" s="77" t="s">
        <v>53</v>
      </c>
      <c r="D42" s="76">
        <v>26</v>
      </c>
      <c r="N42" s="35" t="s">
        <v>74</v>
      </c>
      <c r="O42" s="36">
        <v>81000</v>
      </c>
      <c r="P42" s="36">
        <f t="shared" si="0"/>
        <v>4860</v>
      </c>
      <c r="Q42" s="37">
        <f t="shared" si="1"/>
        <v>2860.4882699999998</v>
      </c>
    </row>
    <row r="43" spans="1:18" x14ac:dyDescent="0.25">
      <c r="A43" s="23"/>
      <c r="B43" s="204"/>
      <c r="C43" s="77" t="s">
        <v>57</v>
      </c>
      <c r="D43" s="76">
        <v>29</v>
      </c>
      <c r="N43" s="35" t="s">
        <v>75</v>
      </c>
      <c r="O43" s="36">
        <v>102000</v>
      </c>
      <c r="P43" s="36">
        <f t="shared" si="0"/>
        <v>6120</v>
      </c>
      <c r="Q43" s="37">
        <f t="shared" si="1"/>
        <v>3602.0963400000001</v>
      </c>
    </row>
    <row r="44" spans="1:18" x14ac:dyDescent="0.25">
      <c r="A44" s="23"/>
      <c r="B44" s="204"/>
      <c r="C44" s="77" t="s">
        <v>61</v>
      </c>
      <c r="D44" s="76">
        <v>48</v>
      </c>
      <c r="N44" s="35" t="s">
        <v>76</v>
      </c>
      <c r="O44" s="36">
        <v>126000</v>
      </c>
      <c r="P44" s="36">
        <f t="shared" si="0"/>
        <v>7560</v>
      </c>
      <c r="Q44" s="37">
        <f t="shared" si="1"/>
        <v>4449.6484199999995</v>
      </c>
    </row>
    <row r="45" spans="1:18" ht="15.75" thickBot="1" x14ac:dyDescent="0.3">
      <c r="A45" s="23"/>
      <c r="B45" s="204"/>
      <c r="C45" s="77" t="s">
        <v>63</v>
      </c>
      <c r="D45" s="76">
        <v>69</v>
      </c>
      <c r="N45" s="78" t="s">
        <v>77</v>
      </c>
      <c r="O45" s="26">
        <v>151000</v>
      </c>
      <c r="P45" s="26">
        <f t="shared" si="0"/>
        <v>9060</v>
      </c>
      <c r="Q45" s="79">
        <f t="shared" si="1"/>
        <v>5332.5151699999997</v>
      </c>
    </row>
    <row r="46" spans="1:18" ht="15.75" thickBot="1" x14ac:dyDescent="0.3">
      <c r="A46" s="23"/>
      <c r="B46" s="205"/>
      <c r="C46" s="80" t="s">
        <v>65</v>
      </c>
      <c r="D46" s="81">
        <v>77</v>
      </c>
    </row>
    <row r="47" spans="1:18" ht="15.75" x14ac:dyDescent="0.25">
      <c r="A47" s="23"/>
      <c r="B47" s="82"/>
      <c r="C47" s="83"/>
      <c r="D47" s="8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</row>
    <row r="48" spans="1:18" ht="15.75" thickBot="1" x14ac:dyDescent="0.3"/>
    <row r="49" spans="1:18" ht="18.75" x14ac:dyDescent="0.25">
      <c r="B49" s="206" t="s">
        <v>8</v>
      </c>
      <c r="C49" s="207"/>
      <c r="D49" s="85">
        <f>$D$8</f>
        <v>2000</v>
      </c>
      <c r="E49" s="86" t="s">
        <v>78</v>
      </c>
    </row>
    <row r="50" spans="1:18" ht="18.75" x14ac:dyDescent="0.25">
      <c r="B50" s="87" t="s">
        <v>79</v>
      </c>
      <c r="C50" s="88"/>
      <c r="D50" s="89">
        <f>$C$26</f>
        <v>1.24</v>
      </c>
      <c r="E50" s="90" t="s">
        <v>12</v>
      </c>
    </row>
    <row r="51" spans="1:18" ht="18.75" x14ac:dyDescent="0.25">
      <c r="B51" s="87" t="s">
        <v>80</v>
      </c>
      <c r="C51" s="88"/>
      <c r="D51" s="89">
        <f>$F$26</f>
        <v>1</v>
      </c>
      <c r="E51" s="90" t="s">
        <v>12</v>
      </c>
    </row>
    <row r="52" spans="1:18" ht="16.5" thickBot="1" x14ac:dyDescent="0.3">
      <c r="B52" s="91" t="s">
        <v>81</v>
      </c>
      <c r="C52" s="92"/>
      <c r="D52" s="93">
        <f>$D$49/($D$50*$D$51)</f>
        <v>1612.9032258064517</v>
      </c>
      <c r="E52" s="94" t="s">
        <v>78</v>
      </c>
    </row>
    <row r="53" spans="1:18" ht="24" thickBot="1" x14ac:dyDescent="0.3">
      <c r="B53" s="181" t="s">
        <v>82</v>
      </c>
      <c r="C53" s="182"/>
      <c r="D53" s="183"/>
      <c r="E53" s="95" t="str">
        <f>IF($D$52&lt;$P$21,$N$21,IF($D$52&lt;$P$22,$N$22,IF($D$52&lt;$P$23,$N$23,IF($D$52&lt;$P$24,$N$24,IF($D$52&lt;$P$25,$N$25,IF($D$52&lt;$P$26,$N$26,IF($D$52&lt;$P$27,$N$27,IF($D$52&lt;$P$28,$N$28,IF($D$52&lt;$P$29,$N$29,IF($D$52&lt;$P$30,$N$30,IF($D$52&lt;$P$31,$N$31,IF($D$52&lt;$P$32,$N$32,IF($D$52&lt;$P$33,$N$33,IF($D$52&lt;$P$34,$N$34,IF($D$52&lt;$P$35,$N$35,IF($D$52&lt;$P$36,$N$36,IF($D$52&lt;$P$37,$N$37,IF($D$52&lt;$P$38,$N$38,IF($D$52&lt;$P$39,$N$39,IF($D$52&lt;$P$40,$N$40,IF($D$52&lt;$P$41,$N$41,IF($D$52&lt;$P$42,$N$42,IF($D$52&lt;$P$43,$N$43,IF($D$52&lt;$P$44,$N$44,IF($D$52&lt;$P$45,$N$45,N45)))))))))))))))))))))))))</f>
        <v>HDT-300</v>
      </c>
      <c r="G53" s="96" t="str">
        <f>IF(AND($D$10=$G$10,$E$53=N21),N22,IF(AND($D$10=$G$10,$E$53=N22),N23,IF(AND($D$10=$G$10,$E$53=N23),N24,IF(AND($D$10=$G$10,$E$53=N24),N25,IF(AND($D$10=$G$10,$E$53=N25),N26,IF(AND($D$10=$G$10,$E$53=N26),N27,IF(AND($D$10=$G$10,$E$53=N27),N28,IF(AND($D$10=$G$10,$E$53=N28),N29,IF(AND($D$10=$G$10,$E$53=N29),N30,IF(AND($D$10=$G$10,$E$53=N30),N31,IF(AND($D$10=$G$10,$E$53=N31),N32,IF(AND($D$10=$G$10,$E$53=N32),N33,IF(AND($D$10=$G$10,$E$53=N33),N34,IF(AND($D$10=$G$10,$E$53=N34),N35,IF(AND($D$10=$G$10,$E$53=N35),N36,IF(AND($D$10=$G$10,$E$53=N36),N37,IF(AND($D$10=$G$10,$E$53=N37),N38,IF(AND($D$10=$G$10,$E$53=N38),N39,IF(AND($D$10=$G$10,$E$53=N39),N40,IF(AND($D$10=$G$10,$E$53=N40),N41,IF(AND($D$10=$G$10,$E$53=N41),N42,IF(AND($D$10=$G$10,$E$53=N42),N43,IF(AND($D$10=$G$10,$E$53=N43),N44,IF(AND($D$10=$G$10,$E$53=N44),N45,E53))))))))))))))))))))))))</f>
        <v>HDT-300</v>
      </c>
    </row>
    <row r="55" spans="1:18" ht="15.75" thickBot="1" x14ac:dyDescent="0.3"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</row>
    <row r="56" spans="1:18" x14ac:dyDescent="0.25">
      <c r="A56" s="23"/>
      <c r="B56" s="175" t="s">
        <v>83</v>
      </c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7"/>
    </row>
    <row r="57" spans="1:18" ht="15.75" thickBot="1" x14ac:dyDescent="0.3">
      <c r="A57" s="23"/>
      <c r="B57" s="178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80"/>
    </row>
    <row r="58" spans="1:18" ht="15.75" thickBot="1" x14ac:dyDescent="0.3">
      <c r="A58" s="23"/>
      <c r="B58" s="169" t="s">
        <v>84</v>
      </c>
      <c r="C58" s="171" t="s">
        <v>85</v>
      </c>
      <c r="D58" s="159" t="s">
        <v>86</v>
      </c>
      <c r="E58" s="155" t="s">
        <v>87</v>
      </c>
      <c r="F58" s="173" t="s">
        <v>88</v>
      </c>
      <c r="G58" s="174"/>
      <c r="H58" s="155" t="s">
        <v>89</v>
      </c>
      <c r="I58" s="155" t="s">
        <v>90</v>
      </c>
      <c r="J58" s="155" t="s">
        <v>91</v>
      </c>
      <c r="K58" s="155" t="s">
        <v>92</v>
      </c>
      <c r="L58" s="158" t="s">
        <v>93</v>
      </c>
      <c r="M58" s="159"/>
      <c r="N58" s="159"/>
      <c r="O58" s="160"/>
      <c r="P58" s="155" t="s">
        <v>94</v>
      </c>
      <c r="Q58" s="155" t="s">
        <v>95</v>
      </c>
    </row>
    <row r="59" spans="1:18" ht="15.75" thickBot="1" x14ac:dyDescent="0.3">
      <c r="A59" s="23"/>
      <c r="B59" s="169"/>
      <c r="C59" s="171"/>
      <c r="D59" s="159"/>
      <c r="E59" s="155"/>
      <c r="F59" s="97" t="s">
        <v>96</v>
      </c>
      <c r="G59" s="98" t="s">
        <v>97</v>
      </c>
      <c r="H59" s="172"/>
      <c r="I59" s="155"/>
      <c r="J59" s="155"/>
      <c r="K59" s="155"/>
      <c r="L59" s="157"/>
      <c r="M59" s="161"/>
      <c r="N59" s="161"/>
      <c r="O59" s="162"/>
      <c r="P59" s="156"/>
      <c r="Q59" s="156"/>
    </row>
    <row r="60" spans="1:18" ht="15.75" thickBot="1" x14ac:dyDescent="0.3">
      <c r="A60" s="23"/>
      <c r="B60" s="169"/>
      <c r="C60" s="171"/>
      <c r="D60" s="159"/>
      <c r="E60" s="155"/>
      <c r="F60" s="99" t="s">
        <v>98</v>
      </c>
      <c r="G60" s="100" t="s">
        <v>99</v>
      </c>
      <c r="H60" s="101" t="s">
        <v>100</v>
      </c>
      <c r="I60" s="155"/>
      <c r="J60" s="155"/>
      <c r="K60" s="158"/>
      <c r="L60" s="102" t="s">
        <v>101</v>
      </c>
      <c r="M60" s="103" t="s">
        <v>102</v>
      </c>
      <c r="N60" s="102" t="s">
        <v>85</v>
      </c>
      <c r="O60" s="104" t="s">
        <v>103</v>
      </c>
      <c r="P60" s="104" t="s">
        <v>104</v>
      </c>
      <c r="Q60" s="104" t="s">
        <v>104</v>
      </c>
    </row>
    <row r="61" spans="1:18" ht="51" x14ac:dyDescent="0.25">
      <c r="A61" s="23"/>
      <c r="B61" s="105">
        <v>1</v>
      </c>
      <c r="C61" s="106" t="s">
        <v>29</v>
      </c>
      <c r="D61" s="107" t="s">
        <v>105</v>
      </c>
      <c r="E61" s="107">
        <v>900</v>
      </c>
      <c r="F61" s="107" t="s">
        <v>106</v>
      </c>
      <c r="G61" s="107" t="s">
        <v>12</v>
      </c>
      <c r="H61" s="108" t="s">
        <v>107</v>
      </c>
      <c r="I61" s="109" t="s">
        <v>47</v>
      </c>
      <c r="J61" s="109" t="str">
        <f>IF(D6&lt;=10,"Angle Seat Valve 1/2 inch","Ball Valve 1/2 inch")</f>
        <v>Angle Seat Valve 1/2 inch</v>
      </c>
      <c r="K61" s="109" t="s">
        <v>108</v>
      </c>
      <c r="L61" s="107" t="s">
        <v>48</v>
      </c>
      <c r="M61" s="110" t="s">
        <v>109</v>
      </c>
      <c r="N61" s="111" t="s">
        <v>110</v>
      </c>
      <c r="O61" s="112" t="s">
        <v>111</v>
      </c>
      <c r="P61" s="109" t="s">
        <v>112</v>
      </c>
      <c r="Q61" s="113">
        <v>70</v>
      </c>
    </row>
    <row r="62" spans="1:18" ht="38.25" x14ac:dyDescent="0.25">
      <c r="A62" s="23"/>
      <c r="B62" s="114">
        <v>2</v>
      </c>
      <c r="C62" s="115" t="s">
        <v>30</v>
      </c>
      <c r="D62" s="116" t="s">
        <v>105</v>
      </c>
      <c r="E62" s="116">
        <v>900</v>
      </c>
      <c r="F62" s="116" t="s">
        <v>106</v>
      </c>
      <c r="G62" s="116" t="s">
        <v>12</v>
      </c>
      <c r="H62" s="117" t="s">
        <v>113</v>
      </c>
      <c r="I62" s="118" t="s">
        <v>114</v>
      </c>
      <c r="J62" s="118" t="str">
        <f>IF(D6&lt;=10,"Angle Seat Valve 1/2 inch","Ball Valve 1/2 inch")</f>
        <v>Angle Seat Valve 1/2 inch</v>
      </c>
      <c r="K62" s="118" t="s">
        <v>108</v>
      </c>
      <c r="L62" s="116" t="s">
        <v>48</v>
      </c>
      <c r="M62" s="119" t="s">
        <v>109</v>
      </c>
      <c r="N62" s="120" t="s">
        <v>110</v>
      </c>
      <c r="O62" s="121" t="s">
        <v>111</v>
      </c>
      <c r="P62" s="118" t="s">
        <v>115</v>
      </c>
      <c r="Q62" s="122">
        <v>90</v>
      </c>
    </row>
    <row r="63" spans="1:18" ht="51" x14ac:dyDescent="0.25">
      <c r="A63" s="23"/>
      <c r="B63" s="114">
        <v>3</v>
      </c>
      <c r="C63" s="115" t="s">
        <v>32</v>
      </c>
      <c r="D63" s="116" t="s">
        <v>116</v>
      </c>
      <c r="E63" s="116">
        <v>1200</v>
      </c>
      <c r="F63" s="116" t="s">
        <v>106</v>
      </c>
      <c r="G63" s="116" t="s">
        <v>12</v>
      </c>
      <c r="H63" s="117" t="s">
        <v>117</v>
      </c>
      <c r="I63" s="118" t="s">
        <v>47</v>
      </c>
      <c r="J63" s="118" t="str">
        <f>IF(D1&lt;=10,"Angle Seat Valve 1/2","Ball Valve With Actuator 1/2")</f>
        <v>Angle Seat Valve 1/2</v>
      </c>
      <c r="K63" s="118" t="s">
        <v>118</v>
      </c>
      <c r="L63" s="116" t="s">
        <v>48</v>
      </c>
      <c r="M63" s="119" t="s">
        <v>109</v>
      </c>
      <c r="N63" s="120" t="s">
        <v>110</v>
      </c>
      <c r="O63" s="121" t="s">
        <v>119</v>
      </c>
      <c r="P63" s="116">
        <v>12</v>
      </c>
      <c r="Q63" s="123">
        <v>110</v>
      </c>
    </row>
    <row r="64" spans="1:18" ht="51" x14ac:dyDescent="0.25">
      <c r="A64" s="23"/>
      <c r="B64" s="114">
        <v>4</v>
      </c>
      <c r="C64" s="115" t="s">
        <v>36</v>
      </c>
      <c r="D64" s="116" t="s">
        <v>116</v>
      </c>
      <c r="E64" s="116">
        <v>1700</v>
      </c>
      <c r="F64" s="116" t="s">
        <v>106</v>
      </c>
      <c r="G64" s="116" t="s">
        <v>12</v>
      </c>
      <c r="H64" s="117" t="s">
        <v>117</v>
      </c>
      <c r="I64" s="118" t="s">
        <v>51</v>
      </c>
      <c r="J64" s="118" t="str">
        <f>IF(D6&lt;=10,"Angle Seat Valve 1/2","Ball Valve With Actuator 1/2")</f>
        <v>Angle Seat Valve 1/2</v>
      </c>
      <c r="K64" s="118" t="s">
        <v>120</v>
      </c>
      <c r="L64" s="116" t="s">
        <v>52</v>
      </c>
      <c r="M64" s="119" t="s">
        <v>109</v>
      </c>
      <c r="N64" s="120" t="s">
        <v>110</v>
      </c>
      <c r="O64" s="121" t="s">
        <v>111</v>
      </c>
      <c r="P64" s="118" t="s">
        <v>121</v>
      </c>
      <c r="Q64" s="122">
        <v>130</v>
      </c>
    </row>
    <row r="65" spans="1:17" ht="51" x14ac:dyDescent="0.25">
      <c r="A65" s="23"/>
      <c r="B65" s="114">
        <v>5</v>
      </c>
      <c r="C65" s="115" t="s">
        <v>37</v>
      </c>
      <c r="D65" s="116" t="s">
        <v>122</v>
      </c>
      <c r="E65" s="116">
        <v>1500</v>
      </c>
      <c r="F65" s="116" t="s">
        <v>123</v>
      </c>
      <c r="G65" s="116" t="s">
        <v>12</v>
      </c>
      <c r="H65" s="117" t="s">
        <v>117</v>
      </c>
      <c r="I65" s="118" t="s">
        <v>124</v>
      </c>
      <c r="J65" s="118" t="str">
        <f>IF(D6&lt;=10,"Angle Seat Valve 3/4 inch","Ball Valve With Actuator 3/4 inch")</f>
        <v>Angle Seat Valve 3/4 inch</v>
      </c>
      <c r="K65" s="118" t="s">
        <v>125</v>
      </c>
      <c r="L65" s="116" t="s">
        <v>56</v>
      </c>
      <c r="M65" s="118" t="s">
        <v>126</v>
      </c>
      <c r="N65" s="118" t="s">
        <v>127</v>
      </c>
      <c r="O65" s="118" t="s">
        <v>128</v>
      </c>
      <c r="P65" s="118" t="s">
        <v>129</v>
      </c>
      <c r="Q65" s="122">
        <v>150</v>
      </c>
    </row>
    <row r="66" spans="1:17" ht="51" x14ac:dyDescent="0.25">
      <c r="A66" s="23"/>
      <c r="B66" s="114">
        <v>6</v>
      </c>
      <c r="C66" s="115" t="s">
        <v>38</v>
      </c>
      <c r="D66" s="116" t="s">
        <v>130</v>
      </c>
      <c r="E66" s="116">
        <v>1200</v>
      </c>
      <c r="F66" s="116" t="s">
        <v>123</v>
      </c>
      <c r="G66" s="116" t="s">
        <v>12</v>
      </c>
      <c r="H66" s="117" t="s">
        <v>131</v>
      </c>
      <c r="I66" s="118" t="s">
        <v>132</v>
      </c>
      <c r="J66" s="118" t="str">
        <f>IF(D6&lt;=10,"Angle Seat Valve 3/4 inch","Ball Valve With Actuator 3/4 inch")</f>
        <v>Angle Seat Valve 3/4 inch</v>
      </c>
      <c r="K66" s="118" t="s">
        <v>125</v>
      </c>
      <c r="L66" s="116" t="s">
        <v>56</v>
      </c>
      <c r="M66" s="118" t="s">
        <v>126</v>
      </c>
      <c r="N66" s="118" t="s">
        <v>127</v>
      </c>
      <c r="O66" s="118" t="s">
        <v>128</v>
      </c>
      <c r="P66" s="118" t="s">
        <v>133</v>
      </c>
      <c r="Q66" s="122">
        <v>245</v>
      </c>
    </row>
    <row r="67" spans="1:17" ht="51" x14ac:dyDescent="0.25">
      <c r="A67" s="23"/>
      <c r="B67" s="114">
        <v>7</v>
      </c>
      <c r="C67" s="115" t="s">
        <v>39</v>
      </c>
      <c r="D67" s="116" t="s">
        <v>130</v>
      </c>
      <c r="E67" s="116">
        <v>1350</v>
      </c>
      <c r="F67" s="116" t="s">
        <v>123</v>
      </c>
      <c r="G67" s="116" t="s">
        <v>12</v>
      </c>
      <c r="H67" s="117" t="s">
        <v>131</v>
      </c>
      <c r="I67" s="118" t="s">
        <v>55</v>
      </c>
      <c r="J67" s="118" t="str">
        <f>IF(D6&lt;=10,"Angle Seat Valve 3/4 inch","Ball Valve With Actuator 3/4 inch")</f>
        <v>Angle Seat Valve 3/4 inch</v>
      </c>
      <c r="K67" s="118" t="s">
        <v>125</v>
      </c>
      <c r="L67" s="116" t="s">
        <v>56</v>
      </c>
      <c r="M67" s="118" t="s">
        <v>126</v>
      </c>
      <c r="N67" s="118" t="s">
        <v>127</v>
      </c>
      <c r="O67" s="118" t="s">
        <v>128</v>
      </c>
      <c r="P67" s="118" t="s">
        <v>134</v>
      </c>
      <c r="Q67" s="122">
        <v>245</v>
      </c>
    </row>
    <row r="68" spans="1:17" ht="51" x14ac:dyDescent="0.25">
      <c r="A68" s="23"/>
      <c r="B68" s="114">
        <v>8</v>
      </c>
      <c r="C68" s="115" t="s">
        <v>40</v>
      </c>
      <c r="D68" s="116" t="s">
        <v>130</v>
      </c>
      <c r="E68" s="116">
        <v>1550</v>
      </c>
      <c r="F68" s="116" t="s">
        <v>123</v>
      </c>
      <c r="G68" s="116" t="s">
        <v>12</v>
      </c>
      <c r="H68" s="117" t="s">
        <v>135</v>
      </c>
      <c r="I68" s="118" t="s">
        <v>55</v>
      </c>
      <c r="J68" s="118" t="str">
        <f>IF(D6&lt;=10,"Angle Seat Valve 3/4 inch","Ball Valve With Actuator 3/4 inch")</f>
        <v>Angle Seat Valve 3/4 inch</v>
      </c>
      <c r="K68" s="118" t="s">
        <v>125</v>
      </c>
      <c r="L68" s="116" t="s">
        <v>56</v>
      </c>
      <c r="M68" s="118" t="s">
        <v>126</v>
      </c>
      <c r="N68" s="118" t="s">
        <v>127</v>
      </c>
      <c r="O68" s="118" t="s">
        <v>128</v>
      </c>
      <c r="P68" s="118" t="s">
        <v>136</v>
      </c>
      <c r="Q68" s="122">
        <v>255</v>
      </c>
    </row>
    <row r="69" spans="1:17" ht="63.75" x14ac:dyDescent="0.25">
      <c r="A69" s="23"/>
      <c r="B69" s="114">
        <v>9</v>
      </c>
      <c r="C69" s="115" t="s">
        <v>42</v>
      </c>
      <c r="D69" s="116" t="s">
        <v>137</v>
      </c>
      <c r="E69" s="116">
        <v>1350</v>
      </c>
      <c r="F69" s="116" t="s">
        <v>138</v>
      </c>
      <c r="G69" s="116" t="s">
        <v>12</v>
      </c>
      <c r="H69" s="117" t="s">
        <v>139</v>
      </c>
      <c r="I69" s="118" t="s">
        <v>140</v>
      </c>
      <c r="J69" s="118" t="str">
        <f>IF(D6&lt;=10,"Angle Seat Valve 11/4 inch","Ball Valve With Actuator 11/4 inch")</f>
        <v>Angle Seat Valve 11/4 inch</v>
      </c>
      <c r="K69" s="118" t="s">
        <v>141</v>
      </c>
      <c r="L69" s="116" t="s">
        <v>60</v>
      </c>
      <c r="M69" s="118" t="s">
        <v>126</v>
      </c>
      <c r="N69" s="118" t="s">
        <v>127</v>
      </c>
      <c r="O69" s="118" t="s">
        <v>128</v>
      </c>
      <c r="P69" s="118" t="s">
        <v>142</v>
      </c>
      <c r="Q69" s="122">
        <v>255</v>
      </c>
    </row>
    <row r="70" spans="1:17" ht="63.75" x14ac:dyDescent="0.25">
      <c r="A70" s="23"/>
      <c r="B70" s="114">
        <v>10</v>
      </c>
      <c r="C70" s="115" t="s">
        <v>46</v>
      </c>
      <c r="D70" s="116" t="s">
        <v>137</v>
      </c>
      <c r="E70" s="116">
        <v>1500</v>
      </c>
      <c r="F70" s="116" t="s">
        <v>138</v>
      </c>
      <c r="G70" s="116" t="s">
        <v>12</v>
      </c>
      <c r="H70" s="117" t="s">
        <v>143</v>
      </c>
      <c r="I70" s="118" t="s">
        <v>140</v>
      </c>
      <c r="J70" s="118" t="str">
        <f>IF(D6&lt;=10,"Angle Seat Valve 11/4 inch","Ball Valve With Actuator 11/4 inch")</f>
        <v>Angle Seat Valve 11/4 inch</v>
      </c>
      <c r="K70" s="118" t="s">
        <v>141</v>
      </c>
      <c r="L70" s="116" t="s">
        <v>60</v>
      </c>
      <c r="M70" s="118" t="s">
        <v>126</v>
      </c>
      <c r="N70" s="118" t="s">
        <v>127</v>
      </c>
      <c r="O70" s="118" t="s">
        <v>128</v>
      </c>
      <c r="P70" s="118" t="s">
        <v>144</v>
      </c>
      <c r="Q70" s="122">
        <v>255</v>
      </c>
    </row>
    <row r="71" spans="1:17" ht="63.75" x14ac:dyDescent="0.25">
      <c r="A71" s="23"/>
      <c r="B71" s="114">
        <v>11</v>
      </c>
      <c r="C71" s="115" t="s">
        <v>50</v>
      </c>
      <c r="D71" s="116" t="s">
        <v>145</v>
      </c>
      <c r="E71" s="116">
        <v>1350</v>
      </c>
      <c r="F71" s="116" t="s">
        <v>138</v>
      </c>
      <c r="G71" s="116" t="s">
        <v>12</v>
      </c>
      <c r="H71" s="117" t="s">
        <v>146</v>
      </c>
      <c r="I71" s="118" t="s">
        <v>147</v>
      </c>
      <c r="J71" s="118" t="str">
        <f>IF(D6&lt;=10,"Angle Seat Valve 11/2 inch","Ball Valve With Actuator 11/2 inch")</f>
        <v>Angle Seat Valve 11/2 inch</v>
      </c>
      <c r="K71" s="118" t="s">
        <v>148</v>
      </c>
      <c r="L71" s="118" t="s">
        <v>49</v>
      </c>
      <c r="M71" s="118" t="s">
        <v>126</v>
      </c>
      <c r="N71" s="118" t="s">
        <v>127</v>
      </c>
      <c r="O71" s="118" t="s">
        <v>128</v>
      </c>
      <c r="P71" s="116" t="s">
        <v>144</v>
      </c>
      <c r="Q71" s="123">
        <v>355</v>
      </c>
    </row>
    <row r="72" spans="1:17" ht="63.75" x14ac:dyDescent="0.25">
      <c r="A72" s="23"/>
      <c r="B72" s="114">
        <v>12</v>
      </c>
      <c r="C72" s="115" t="s">
        <v>149</v>
      </c>
      <c r="D72" s="116" t="s">
        <v>150</v>
      </c>
      <c r="E72" s="116">
        <v>1200</v>
      </c>
      <c r="F72" s="116" t="s">
        <v>138</v>
      </c>
      <c r="G72" s="116" t="s">
        <v>12</v>
      </c>
      <c r="H72" s="117" t="s">
        <v>151</v>
      </c>
      <c r="I72" s="118" t="s">
        <v>152</v>
      </c>
      <c r="J72" s="118" t="str">
        <f>IF(D6&lt;=10,"Angle Seat Valve 11/2 inch","Ball Valve With Actuator 11/2 inch")</f>
        <v>Angle Seat Valve 11/2 inch</v>
      </c>
      <c r="K72" s="118" t="s">
        <v>148</v>
      </c>
      <c r="L72" s="118" t="s">
        <v>49</v>
      </c>
      <c r="M72" s="118" t="s">
        <v>126</v>
      </c>
      <c r="N72" s="118" t="s">
        <v>127</v>
      </c>
      <c r="O72" s="118" t="s">
        <v>128</v>
      </c>
      <c r="P72" s="118" t="s">
        <v>153</v>
      </c>
      <c r="Q72" s="122">
        <v>400</v>
      </c>
    </row>
    <row r="73" spans="1:17" ht="63.75" x14ac:dyDescent="0.25">
      <c r="A73" s="23"/>
      <c r="B73" s="114">
        <v>13</v>
      </c>
      <c r="C73" s="115" t="s">
        <v>58</v>
      </c>
      <c r="D73" s="116" t="s">
        <v>154</v>
      </c>
      <c r="E73" s="116">
        <v>1300</v>
      </c>
      <c r="F73" s="116" t="s">
        <v>138</v>
      </c>
      <c r="G73" s="116" t="s">
        <v>12</v>
      </c>
      <c r="H73" s="117" t="s">
        <v>155</v>
      </c>
      <c r="I73" s="118" t="s">
        <v>156</v>
      </c>
      <c r="J73" s="118" t="s">
        <v>152</v>
      </c>
      <c r="K73" s="118" t="s">
        <v>157</v>
      </c>
      <c r="L73" s="118" t="s">
        <v>158</v>
      </c>
      <c r="M73" s="118" t="s">
        <v>126</v>
      </c>
      <c r="N73" s="118" t="s">
        <v>127</v>
      </c>
      <c r="O73" s="118" t="s">
        <v>128</v>
      </c>
      <c r="P73" s="118" t="s">
        <v>159</v>
      </c>
      <c r="Q73" s="122">
        <v>600</v>
      </c>
    </row>
    <row r="74" spans="1:17" ht="63.75" x14ac:dyDescent="0.25">
      <c r="A74" s="23"/>
      <c r="B74" s="114">
        <v>14</v>
      </c>
      <c r="C74" s="115" t="s">
        <v>62</v>
      </c>
      <c r="D74" s="116" t="s">
        <v>154</v>
      </c>
      <c r="E74" s="116">
        <v>1600</v>
      </c>
      <c r="F74" s="116" t="s">
        <v>138</v>
      </c>
      <c r="G74" s="116" t="s">
        <v>12</v>
      </c>
      <c r="H74" s="117" t="s">
        <v>160</v>
      </c>
      <c r="I74" s="118" t="s">
        <v>161</v>
      </c>
      <c r="J74" s="118" t="s">
        <v>162</v>
      </c>
      <c r="K74" s="118" t="s">
        <v>157</v>
      </c>
      <c r="L74" s="116" t="s">
        <v>158</v>
      </c>
      <c r="M74" s="118" t="s">
        <v>126</v>
      </c>
      <c r="N74" s="118" t="s">
        <v>127</v>
      </c>
      <c r="O74" s="118" t="s">
        <v>128</v>
      </c>
      <c r="P74" s="118" t="s">
        <v>163</v>
      </c>
      <c r="Q74" s="122">
        <v>700</v>
      </c>
    </row>
    <row r="75" spans="1:17" ht="63.75" x14ac:dyDescent="0.25">
      <c r="A75" s="23"/>
      <c r="B75" s="114">
        <v>15</v>
      </c>
      <c r="C75" s="115" t="s">
        <v>64</v>
      </c>
      <c r="D75" s="116" t="s">
        <v>164</v>
      </c>
      <c r="E75" s="116">
        <v>1200</v>
      </c>
      <c r="F75" s="116" t="s">
        <v>138</v>
      </c>
      <c r="G75" s="116" t="s">
        <v>12</v>
      </c>
      <c r="H75" s="118" t="s">
        <v>165</v>
      </c>
      <c r="I75" s="118" t="s">
        <v>166</v>
      </c>
      <c r="J75" s="118" t="s">
        <v>167</v>
      </c>
      <c r="K75" s="118" t="s">
        <v>168</v>
      </c>
      <c r="L75" s="118" t="s">
        <v>57</v>
      </c>
      <c r="M75" s="118" t="s">
        <v>126</v>
      </c>
      <c r="N75" s="118" t="s">
        <v>127</v>
      </c>
      <c r="O75" s="118" t="s">
        <v>128</v>
      </c>
      <c r="P75" s="118" t="s">
        <v>169</v>
      </c>
      <c r="Q75" s="122">
        <v>800</v>
      </c>
    </row>
    <row r="76" spans="1:17" ht="38.25" x14ac:dyDescent="0.25">
      <c r="A76" s="23"/>
      <c r="B76" s="114">
        <v>16</v>
      </c>
      <c r="C76" s="115" t="s">
        <v>66</v>
      </c>
      <c r="D76" s="116" t="s">
        <v>170</v>
      </c>
      <c r="E76" s="116">
        <v>1200</v>
      </c>
      <c r="F76" s="116" t="s">
        <v>138</v>
      </c>
      <c r="G76" s="116" t="s">
        <v>12</v>
      </c>
      <c r="H76" s="117" t="s">
        <v>171</v>
      </c>
      <c r="I76" s="117" t="s">
        <v>172</v>
      </c>
      <c r="J76" s="118" t="s">
        <v>173</v>
      </c>
      <c r="K76" s="117" t="s">
        <v>174</v>
      </c>
      <c r="L76" s="118" t="s">
        <v>57</v>
      </c>
      <c r="M76" s="118" t="s">
        <v>126</v>
      </c>
      <c r="N76" s="118" t="s">
        <v>127</v>
      </c>
      <c r="O76" s="118" t="s">
        <v>128</v>
      </c>
      <c r="P76" s="118" t="s">
        <v>175</v>
      </c>
      <c r="Q76" s="122">
        <v>900</v>
      </c>
    </row>
    <row r="77" spans="1:17" ht="63.75" x14ac:dyDescent="0.25">
      <c r="A77" s="23"/>
      <c r="B77" s="114">
        <v>17</v>
      </c>
      <c r="C77" s="115" t="s">
        <v>68</v>
      </c>
      <c r="D77" s="116" t="s">
        <v>170</v>
      </c>
      <c r="E77" s="116">
        <v>1500</v>
      </c>
      <c r="F77" s="116" t="s">
        <v>138</v>
      </c>
      <c r="G77" s="116" t="s">
        <v>12</v>
      </c>
      <c r="H77" s="117" t="s">
        <v>176</v>
      </c>
      <c r="I77" s="118" t="s">
        <v>166</v>
      </c>
      <c r="J77" s="118" t="s">
        <v>161</v>
      </c>
      <c r="K77" s="117" t="s">
        <v>174</v>
      </c>
      <c r="L77" s="116" t="s">
        <v>57</v>
      </c>
      <c r="M77" s="118" t="s">
        <v>126</v>
      </c>
      <c r="N77" s="118" t="s">
        <v>127</v>
      </c>
      <c r="O77" s="118" t="s">
        <v>128</v>
      </c>
      <c r="P77" s="118" t="s">
        <v>177</v>
      </c>
      <c r="Q77" s="122">
        <f>1150</f>
        <v>1150</v>
      </c>
    </row>
    <row r="78" spans="1:17" ht="63.75" x14ac:dyDescent="0.25">
      <c r="A78" s="23"/>
      <c r="B78" s="114">
        <v>18</v>
      </c>
      <c r="C78" s="115" t="s">
        <v>69</v>
      </c>
      <c r="D78" s="116" t="s">
        <v>178</v>
      </c>
      <c r="E78" s="116">
        <v>1200</v>
      </c>
      <c r="F78" s="116" t="s">
        <v>138</v>
      </c>
      <c r="G78" s="116" t="s">
        <v>12</v>
      </c>
      <c r="H78" s="117" t="s">
        <v>179</v>
      </c>
      <c r="I78" s="118" t="s">
        <v>180</v>
      </c>
      <c r="J78" s="118" t="s">
        <v>161</v>
      </c>
      <c r="K78" s="118" t="s">
        <v>181</v>
      </c>
      <c r="L78" s="116" t="s">
        <v>61</v>
      </c>
      <c r="M78" s="118" t="s">
        <v>126</v>
      </c>
      <c r="N78" s="118" t="s">
        <v>127</v>
      </c>
      <c r="O78" s="118" t="s">
        <v>128</v>
      </c>
      <c r="P78" s="118" t="s">
        <v>182</v>
      </c>
      <c r="Q78" s="122">
        <v>1400</v>
      </c>
    </row>
    <row r="79" spans="1:17" ht="63.75" x14ac:dyDescent="0.25">
      <c r="A79" s="23"/>
      <c r="B79" s="114">
        <v>19</v>
      </c>
      <c r="C79" s="115" t="s">
        <v>70</v>
      </c>
      <c r="D79" s="116">
        <v>650</v>
      </c>
      <c r="E79" s="116">
        <v>1200</v>
      </c>
      <c r="F79" s="116" t="s">
        <v>12</v>
      </c>
      <c r="G79" s="116">
        <f>'[1]Vessel Weights'!$D$21</f>
        <v>10</v>
      </c>
      <c r="H79" s="117" t="s">
        <v>183</v>
      </c>
      <c r="I79" s="118" t="s">
        <v>180</v>
      </c>
      <c r="J79" s="118" t="s">
        <v>166</v>
      </c>
      <c r="K79" s="118" t="s">
        <v>181</v>
      </c>
      <c r="L79" s="116" t="s">
        <v>61</v>
      </c>
      <c r="M79" s="118" t="s">
        <v>126</v>
      </c>
      <c r="N79" s="118" t="s">
        <v>127</v>
      </c>
      <c r="O79" s="118" t="s">
        <v>128</v>
      </c>
      <c r="P79" s="118" t="s">
        <v>184</v>
      </c>
      <c r="Q79" s="122">
        <v>1500</v>
      </c>
    </row>
    <row r="80" spans="1:17" ht="63.75" x14ac:dyDescent="0.25">
      <c r="A80" s="23"/>
      <c r="B80" s="114">
        <v>20</v>
      </c>
      <c r="C80" s="115" t="s">
        <v>72</v>
      </c>
      <c r="D80" s="116">
        <v>700</v>
      </c>
      <c r="E80" s="116">
        <v>1200</v>
      </c>
      <c r="F80" s="116" t="s">
        <v>12</v>
      </c>
      <c r="G80" s="116">
        <f>'[1]Vessel Weights'!$D$21</f>
        <v>10</v>
      </c>
      <c r="H80" s="117" t="s">
        <v>185</v>
      </c>
      <c r="I80" s="118" t="s">
        <v>186</v>
      </c>
      <c r="J80" s="118" t="s">
        <v>180</v>
      </c>
      <c r="K80" s="118" t="s">
        <v>187</v>
      </c>
      <c r="L80" s="116" t="s">
        <v>63</v>
      </c>
      <c r="M80" s="118" t="s">
        <v>126</v>
      </c>
      <c r="N80" s="118" t="s">
        <v>127</v>
      </c>
      <c r="O80" s="118" t="s">
        <v>128</v>
      </c>
      <c r="P80" s="118" t="s">
        <v>188</v>
      </c>
      <c r="Q80" s="122">
        <f>MAX((2*('[1]Vessel Weights'!T75+'[1]Vessel Weights'!P59+'[1]Vessel Weights'!P62+'[1]Vessel Weights'!P65+'[1]Vessel Weights'!P68))+$P$80,2400)</f>
        <v>2687.7612890259434</v>
      </c>
    </row>
    <row r="81" spans="1:17" ht="63.75" x14ac:dyDescent="0.25">
      <c r="A81" s="23"/>
      <c r="B81" s="114">
        <v>21</v>
      </c>
      <c r="C81" s="115" t="s">
        <v>73</v>
      </c>
      <c r="D81" s="116">
        <v>800</v>
      </c>
      <c r="E81" s="116">
        <v>1560</v>
      </c>
      <c r="F81" s="116" t="s">
        <v>12</v>
      </c>
      <c r="G81" s="116">
        <f>'[1]Vessel Weights'!$D$21</f>
        <v>10</v>
      </c>
      <c r="H81" s="117" t="s">
        <v>189</v>
      </c>
      <c r="I81" s="118" t="s">
        <v>186</v>
      </c>
      <c r="J81" s="118" t="s">
        <v>180</v>
      </c>
      <c r="K81" s="118" t="s">
        <v>190</v>
      </c>
      <c r="L81" s="116" t="s">
        <v>63</v>
      </c>
      <c r="M81" s="118" t="s">
        <v>126</v>
      </c>
      <c r="N81" s="118" t="s">
        <v>127</v>
      </c>
      <c r="O81" s="118" t="s">
        <v>128</v>
      </c>
      <c r="P81" s="118" t="s">
        <v>191</v>
      </c>
      <c r="Q81" s="122">
        <f>MAX((2*('[1]Vessel Weights'!T75+'[1]Vessel Weights'!P59+'[1]Vessel Weights'!P62+'[1]Vessel Weights'!P65+'[1]Vessel Weights'!P68))+P81,3500)</f>
        <v>3500</v>
      </c>
    </row>
    <row r="82" spans="1:17" ht="51" x14ac:dyDescent="0.25">
      <c r="A82" s="23"/>
      <c r="B82" s="114">
        <v>22</v>
      </c>
      <c r="C82" s="115" t="s">
        <v>74</v>
      </c>
      <c r="D82" s="116">
        <v>900</v>
      </c>
      <c r="E82" s="116">
        <v>1500</v>
      </c>
      <c r="F82" s="116" t="s">
        <v>12</v>
      </c>
      <c r="G82" s="116">
        <f>'[1]Vessel Weights'!$D$21</f>
        <v>10</v>
      </c>
      <c r="H82" s="117" t="s">
        <v>192</v>
      </c>
      <c r="I82" s="118" t="s">
        <v>193</v>
      </c>
      <c r="J82" s="118" t="s">
        <v>194</v>
      </c>
      <c r="K82" s="118" t="s">
        <v>195</v>
      </c>
      <c r="L82" s="116" t="s">
        <v>65</v>
      </c>
      <c r="M82" s="118" t="s">
        <v>126</v>
      </c>
      <c r="N82" s="118" t="s">
        <v>127</v>
      </c>
      <c r="O82" s="118" t="s">
        <v>128</v>
      </c>
      <c r="P82" s="118" t="s">
        <v>196</v>
      </c>
      <c r="Q82" s="122">
        <f>MAX(2*('[1]Vessel Weights'!T75+'[1]Vessel Weights'!P59+'[1]Vessel Weights'!P62+'[1]Vessel Weights'!P65+'[1]Vessel Weights'!P68)+P82,4000)</f>
        <v>4000</v>
      </c>
    </row>
    <row r="83" spans="1:17" ht="51" x14ac:dyDescent="0.25">
      <c r="A83" s="23"/>
      <c r="B83" s="114">
        <v>23</v>
      </c>
      <c r="C83" s="115" t="s">
        <v>75</v>
      </c>
      <c r="D83" s="116">
        <v>1000</v>
      </c>
      <c r="E83" s="116">
        <v>1800</v>
      </c>
      <c r="F83" s="116" t="s">
        <v>12</v>
      </c>
      <c r="G83" s="116">
        <f>'[1]Vessel Weights'!$D$21</f>
        <v>10</v>
      </c>
      <c r="H83" s="117" t="s">
        <v>197</v>
      </c>
      <c r="I83" s="118" t="s">
        <v>193</v>
      </c>
      <c r="J83" s="118" t="s">
        <v>194</v>
      </c>
      <c r="K83" s="118" t="s">
        <v>198</v>
      </c>
      <c r="L83" s="116" t="s">
        <v>65</v>
      </c>
      <c r="M83" s="118" t="s">
        <v>126</v>
      </c>
      <c r="N83" s="118" t="s">
        <v>127</v>
      </c>
      <c r="O83" s="118" t="s">
        <v>128</v>
      </c>
      <c r="P83" s="118" t="s">
        <v>199</v>
      </c>
      <c r="Q83" s="122">
        <f>MAX(2*('[1]Vessel Weights'!T75+'[1]Vessel Weights'!P59+'[1]Vessel Weights'!P62+'[1]Vessel Weights'!P65+'[1]Vessel Weights'!P68)+P83,4800)</f>
        <v>4800</v>
      </c>
    </row>
    <row r="84" spans="1:17" ht="63.75" x14ac:dyDescent="0.25">
      <c r="A84" s="23"/>
      <c r="B84" s="114">
        <v>24</v>
      </c>
      <c r="C84" s="115" t="s">
        <v>76</v>
      </c>
      <c r="D84" s="116">
        <v>1000</v>
      </c>
      <c r="E84" s="116">
        <v>2300</v>
      </c>
      <c r="F84" s="116" t="s">
        <v>12</v>
      </c>
      <c r="G84" s="116">
        <f>'[1]Vessel Weights'!$D$21</f>
        <v>10</v>
      </c>
      <c r="H84" s="117" t="s">
        <v>200</v>
      </c>
      <c r="I84" s="118" t="s">
        <v>201</v>
      </c>
      <c r="J84" s="118" t="s">
        <v>180</v>
      </c>
      <c r="K84" s="118" t="s">
        <v>202</v>
      </c>
      <c r="L84" s="116" t="s">
        <v>65</v>
      </c>
      <c r="M84" s="118" t="s">
        <v>126</v>
      </c>
      <c r="N84" s="118" t="s">
        <v>127</v>
      </c>
      <c r="O84" s="118" t="s">
        <v>128</v>
      </c>
      <c r="P84" s="116">
        <v>2400</v>
      </c>
      <c r="Q84" s="124">
        <f>MAX(2*('[1]Vessel Weights'!T75+'[1]Vessel Weights'!P59+'[1]Vessel Weights'!P62+'[1]Vessel Weights'!P65+'[1]Vessel Weights'!P68)+P84,6000)</f>
        <v>6000</v>
      </c>
    </row>
    <row r="85" spans="1:17" ht="64.5" thickBot="1" x14ac:dyDescent="0.3">
      <c r="A85" s="23"/>
      <c r="B85" s="125">
        <v>25</v>
      </c>
      <c r="C85" s="126" t="s">
        <v>77</v>
      </c>
      <c r="D85" s="127">
        <v>1250</v>
      </c>
      <c r="E85" s="127">
        <v>1500</v>
      </c>
      <c r="F85" s="127" t="s">
        <v>12</v>
      </c>
      <c r="G85" s="127">
        <f>'[1]Vessel Weights'!$D$21</f>
        <v>10</v>
      </c>
      <c r="H85" s="128" t="s">
        <v>203</v>
      </c>
      <c r="I85" s="129" t="s">
        <v>204</v>
      </c>
      <c r="J85" s="129" t="s">
        <v>205</v>
      </c>
      <c r="K85" s="129" t="s">
        <v>206</v>
      </c>
      <c r="L85" s="127" t="s">
        <v>67</v>
      </c>
      <c r="M85" s="129" t="s">
        <v>126</v>
      </c>
      <c r="N85" s="129" t="s">
        <v>127</v>
      </c>
      <c r="O85" s="129" t="s">
        <v>128</v>
      </c>
      <c r="P85" s="127">
        <v>2410</v>
      </c>
      <c r="Q85" s="130">
        <f>MAX(2*('[1]Vessel Weights'!T75+'[1]Vessel Weights'!P59+'[1]Vessel Weights'!P62+'[1]Vessel Weights'!P65+'[1]Vessel Weights'!P68)+P85,5710)</f>
        <v>5710</v>
      </c>
    </row>
    <row r="86" spans="1:17" x14ac:dyDescent="0.25">
      <c r="A86" s="23"/>
    </row>
    <row r="87" spans="1:17" ht="15.75" thickBot="1" x14ac:dyDescent="0.3">
      <c r="A87" s="23"/>
    </row>
    <row r="88" spans="1:17" x14ac:dyDescent="0.25">
      <c r="A88" s="23"/>
      <c r="B88" s="163" t="s">
        <v>83</v>
      </c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5"/>
    </row>
    <row r="89" spans="1:17" ht="15.75" thickBot="1" x14ac:dyDescent="0.3">
      <c r="A89" s="23"/>
      <c r="B89" s="166"/>
      <c r="C89" s="167"/>
      <c r="D89" s="167"/>
      <c r="E89" s="167"/>
      <c r="F89" s="167"/>
      <c r="G89" s="167"/>
      <c r="H89" s="167"/>
      <c r="I89" s="167"/>
      <c r="J89" s="167"/>
      <c r="K89" s="167"/>
      <c r="L89" s="167"/>
      <c r="M89" s="167"/>
      <c r="N89" s="167"/>
      <c r="O89" s="167"/>
      <c r="P89" s="167"/>
      <c r="Q89" s="168"/>
    </row>
    <row r="90" spans="1:17" ht="15.75" thickBot="1" x14ac:dyDescent="0.3">
      <c r="A90" s="23"/>
      <c r="B90" s="169" t="s">
        <v>84</v>
      </c>
      <c r="C90" s="171" t="s">
        <v>85</v>
      </c>
      <c r="D90" s="159" t="s">
        <v>86</v>
      </c>
      <c r="E90" s="155" t="s">
        <v>87</v>
      </c>
      <c r="F90" s="173" t="s">
        <v>88</v>
      </c>
      <c r="G90" s="174"/>
      <c r="H90" s="155" t="s">
        <v>89</v>
      </c>
      <c r="I90" s="155" t="s">
        <v>90</v>
      </c>
      <c r="J90" s="155" t="s">
        <v>91</v>
      </c>
      <c r="K90" s="155" t="s">
        <v>92</v>
      </c>
      <c r="L90" s="158" t="s">
        <v>93</v>
      </c>
      <c r="M90" s="159"/>
      <c r="N90" s="159"/>
      <c r="O90" s="160"/>
      <c r="P90" s="155" t="s">
        <v>94</v>
      </c>
      <c r="Q90" s="155" t="s">
        <v>95</v>
      </c>
    </row>
    <row r="91" spans="1:17" ht="15.75" thickBot="1" x14ac:dyDescent="0.3">
      <c r="A91" s="23"/>
      <c r="B91" s="169"/>
      <c r="C91" s="171"/>
      <c r="D91" s="159"/>
      <c r="E91" s="155"/>
      <c r="F91" s="97" t="s">
        <v>96</v>
      </c>
      <c r="G91" s="98" t="s">
        <v>97</v>
      </c>
      <c r="H91" s="172"/>
      <c r="I91" s="155"/>
      <c r="J91" s="155"/>
      <c r="K91" s="155"/>
      <c r="L91" s="157"/>
      <c r="M91" s="161"/>
      <c r="N91" s="161"/>
      <c r="O91" s="162"/>
      <c r="P91" s="156"/>
      <c r="Q91" s="156"/>
    </row>
    <row r="92" spans="1:17" ht="15.75" thickBot="1" x14ac:dyDescent="0.3">
      <c r="A92" s="23"/>
      <c r="B92" s="170"/>
      <c r="C92" s="172"/>
      <c r="D92" s="161"/>
      <c r="E92" s="156"/>
      <c r="F92" s="131" t="s">
        <v>98</v>
      </c>
      <c r="G92" s="132" t="s">
        <v>99</v>
      </c>
      <c r="H92" s="133" t="s">
        <v>100</v>
      </c>
      <c r="I92" s="156"/>
      <c r="J92" s="156"/>
      <c r="K92" s="157"/>
      <c r="L92" s="134" t="s">
        <v>101</v>
      </c>
      <c r="M92" s="135" t="s">
        <v>102</v>
      </c>
      <c r="N92" s="134" t="s">
        <v>85</v>
      </c>
      <c r="O92" s="136" t="s">
        <v>103</v>
      </c>
      <c r="P92" s="136" t="s">
        <v>104</v>
      </c>
      <c r="Q92" s="104" t="s">
        <v>104</v>
      </c>
    </row>
    <row r="93" spans="1:17" ht="64.5" thickBot="1" x14ac:dyDescent="0.3">
      <c r="A93" s="23"/>
      <c r="B93" s="137">
        <v>1</v>
      </c>
      <c r="C93" s="138" t="str">
        <f>$G$53</f>
        <v>HDT-300</v>
      </c>
      <c r="D93" s="139" t="str">
        <f>IF($C$93=C61,D61,IF($C$93=C62,D62,IF($C$93=C63,D63,IF($C$93=C64,D64,IF($C$93=C65,D65,IF($C$93=C66,D66,IF($C$93=C67,D67,IF($C$93=C68,D68,IF($C$93=C69,D69,IF($C$93=C70,D70,IF($C$93=C71,D71,IF($C$93=C73,D73,IF($C$93=C74,D74,IF($C$93=C75,D75,IF($C$93=C76,D76,IF($C$93=C77,D77,IF($C$93=C78,D78,IF($C$93=C79,D79,IF($C$93=C80,D80,IF($C$93=C81,D81,IF($C$93=C82,D82,IF($C$93=C83,D83,IF($C$93=C84,D84,IF($C$93=C85,D85,D72))))))))))))))))))))))))</f>
        <v>20" - ∅ 508</v>
      </c>
      <c r="E93" s="138">
        <f>IF($C$93=C61,E61,IF($C$93=C62,E62,IF($C$93=C63,E63,IF($C$93=C64,E64,IF($C$93=C65,E65,IF($C$93=C66,E66,IF($C$93=C67,E67,IF($C$93=C68,E68,IF($C$93=C69,E69,IF($C$93=C70,E70,IF($C$93=C71,E71,IF($C$93=C73,E73,IF($C$93=C74,E74,IF($C$93=C75,E75,IF($C$93=C76,E76,IF($C$93=C77,E77,IF($C$93=C78,E78,IF($C$93=C79,E79,IF($C$93=C80,E80,IF($C$93=C81,E81,IF($C$93=C82,E82,IF($C$93=C83,E83,IF($C$93=C84,E84,IF($C$93=C85,E85,E72))))))))))))))))))))))))</f>
        <v>1500</v>
      </c>
      <c r="F93" s="139" t="str">
        <f>IF($C$93=C61,F61,IF($C$93=C62,F62,IF($C$93=C63,F63,IF($C$93=C64,F64,IF($C$93=C65,F65,IF($C$93=C66,F66,IF($C$93=C67,F67,IF($C$93=C68,F68,IF($C$93=C69,F69,IF($C$93=C70,F70,IF($C$93=C71,F71,IF($C$93=C73,F73,IF($C$93=C74,F74,IF($C$93=C75,F75,IF($C$93=C76,F76,IF($C$93=C77,F77,IF($C$93=C78,F78,IF($C$93=C79,F79,IF($C$93=C80,F80,IF($C$93=C81,F81,IF($C$93=C82,F82,IF($C$93=C83,F83,IF($C$93=C84,F84,IF($C$93=C85,F85,F72))))))))))))))))))))))))</f>
        <v>Sch. 20</v>
      </c>
      <c r="G93" s="140" t="str">
        <f>IF(C93=C61,G61,IF(C93=C62,G62,IF(C93=C63,G63,IF(C93=C64,G64,IF(C93=C65,G65,IF(C93=C66,G66,IF(C93=C67,G67,IF(C93=C68,G68,IF(C93=C69,G69,IF(C93=C70,G70,IF(C93=C71,G71,IF(C93=C73,G73,IF(C93=C74,G74,IF(C93=C75,G75,IF(C93=C76,G76,IF(C93=C77,G77,IF(C93=C78,G78,IF(C93=C79,G79,IF(C93=C80,G80,IF(C93=C81,G81,IF(C93=C82,G82,IF(C93=C83,G83,IF($C$93=C84,G84,IF($C$93=C85,G85,G72))))))))))))))))))))))))</f>
        <v>-</v>
      </c>
      <c r="H93" s="141" t="str">
        <f>IF(C93=C61,H61,IF(C93=C62,H62,IF(C93=C63,H63,IF(C93=C64,H64,IF(C93=C65,H65,IF(C93=C66,H66,IF(C93=C67,H67,IF(C93=C68,H68,IF(C93=C69,H69,IF(C93=C70,H70,IF(C93=C71,H71,IF(C93=C73,H73,IF(C93=C74,H74,IF(C93=C75,H75,IF(C93=C76,H76,IF(C93=C77,H77,IF(C93=C78,H78,IF(C93=C79,H79,IF(C93=C80,H80,IF(C93=C81,H81,IF(C93=C82,H82,IF(C93=C83,H83,IF($C$93=C84,H84,IF($C$93=C85,H85,H72))))))))))))))))))))))))</f>
        <v>1800 x 1000 x 2900 (Approx.)</v>
      </c>
      <c r="I93" s="142" t="str">
        <f>IF(C93=C61,I61,IF(C93=C62,I62,IF(C93=C63,I63,IF(C93=C64,I64,IF(C93=C65,I65,IF(C93=C66,I66,IF(C93=C67,I67,IF(C93=C68,I68,IF(C93=C69,I69,IF(C93=C70,I70,IF(C93=C71,I71,IF(C93=C73,I73,IF(C93=C74,I74,IF(C93=C75,I75,IF(C93=C76,I76,IF(C93=C77,I77,IF(C93=C78,I78,IF(C93=C79,I79,IF(C93=C80,I80,IF(C93=C81,I81,IF(C93=C82,I82,IF(C93=C83,I83,IF($C$93=C84,I84,IF($C$93=C85,I85,I72))))))))))))))))))))))))</f>
        <v>Butterfly valve With Actuator 3"</v>
      </c>
      <c r="J93" s="143" t="str">
        <f>IF(C93=C61,J61,IF(C93=C62,J62,IF(C93=C63,J63,IF(C93=C64,J64,IF(C93=C65,J65,IF(C93=C66,J66,IF(C93=C67,J67,IF(C93=C68,J68,IF(C93=C69,J69,IF(C93=C70,J70,IF(C93=C71,J71,IF(C93=C73,J73,IF(C93=C74,J74,IF(C93=C75,J75,IF(C93=C76,J76,IF(C93=C77,J77,IF(C93=C78,J78,IF(C93=C79,J79,IF(C93=C80,J80,IF(C93=C81,J81,IF(C93=C82,J82,IF(C93=C83,J83,IF($C$93=C84,J84,IF($C$93=C85,J85,J72))))))))))))))))))))))))</f>
        <v>Butterfly valve With Actuator 21/2"</v>
      </c>
      <c r="K93" s="142" t="str">
        <f>IF(C93=C61,K61,IF(C93=C62,K62,IF(C93=C63,K63,IF(C93=C64,K64,IF(C93=C65,K65,IF(C93=C66,K66,IF(C93=C67,K67,IF(C93=C68,K68,IF(C93=C69,K69,IF(C93=C70,K70,IF(C93=C71,K71,IF(C93=C73,K73,IF(C93=C74,K74,IF(C93=C75,K75,IF(C93=C76,K76,IF(C93=C77,K77,IF(C93=C78,K78,IF(C93=C79,K79,IF(C93=C80,K80,IF(C93=C81,K81,IF(C93=C82,K82,IF(C93=C83,K83,IF($C$93=C84,K84,IF($C$93=C85,K85,K72))))))))))))))))))))))))</f>
        <v>Check valve 3"</v>
      </c>
      <c r="L93" s="144" t="str">
        <f>IF(C93=C61,L61,IF(C93=C62,L62,IF(C93=C63,L63,IF(C93=C64,L64,IF(C93=C65,L65,IF(C93=C66,L66,IF(C93=C67,L67,IF(C93=C68,L68,IF(C93=C69,L69,IF(C93=C70,L70,IF(C93=C71,L71,IF(C93=C73,L73,IF(C93=C74,L74,IF(C93=C75,L75,IF(C93=C76,L76,IF(C93=C77,L77,IF(C93=C78,L78,IF(C93=C79,L79,IF(C93=C80,L80,IF(C93=C81,L81,IF(C93=C82,L82,IF(C93=C83,L83,IF($C$93=C84,L84,IF($C$93=C85,L85,L72))))))))))))))))))))))))</f>
        <v>3"</v>
      </c>
      <c r="M93" s="145" t="str">
        <f>IF(C93=C61,M61,IF(C93=C62,M62,IF(C93=C63,M63,IF(C93=C64,M64,IF(C93=C65,M65,IF(C93=C66,M66,IF(C93=C67,M67,IF(C93=C68,M68,IF(C93=C69,M69,IF(C93=C70,M70,IF(C93=C71,M71,IF(C93=C73,M73,IF(C93=C74,M74,IF(C93=C75,M75,IF(C93=C76,M76,IF(C93=C77,M77,IF(C93=C78,M78,IF(C93=C79,M79,IF(C93=C80,M80,IF(C93=C81,M81,IF(C93=C82,M82,IF(C93=C83,M83,IF($C$93=C84,M84,IF($C$93=C85,M85,M72))))))))))))))))))))))))</f>
        <v xml:space="preserve"> SA-106 Gr.B / SA-105</v>
      </c>
      <c r="N93" s="145" t="str">
        <f>IF(C93=C61,N61,IF(C93=C62,N62,IF(C93=C63,N63,IF(C93=C64,N64,IF(C93=C65,N65,IF(C93=C66,N66,IF(C93=C67,N67,IF(C93=C68,N68,IF(C93=C69,N69,IF(C93=C70,N70,IF(C93=C71,N71,IF(C93=C73,N73,IF(C93=C74,N74,IF(C93=C75,N75,IF(C93=C76,N76,IF(C93=C77,N77,IF(C93=C78,N78,IF(C93=C79,N79,IF(C93=C80,N80,IF(C93=C81,N81,IF(C93=C82,N82,IF(C93=C83,N83,IF($C$93=C84,N84,IF($C$93=C85,N85,N72))))))))))))))))))))))))</f>
        <v>S.O. / R.F.</v>
      </c>
      <c r="O93" s="145" t="str">
        <f>IF(C93=C61,O61,IF(C93=C62,O62,IF(C93=C63,O63,IF(C93=C64,O64,IF(C93=C65,O65,IF(C93=C66,O66,IF(C93=C67,O67,IF(C93=C68,O68,IF(C93=C69,O69,IF(C93=C70,O70,IF(C93=C71,O71,IF(C93=C73,O73,IF(C93=C74,O74,IF(C93=C75,O75,IF(C93=C76,O76,IF(C93=C77,O77,IF(C93=C78,O78,IF(C93=C79,O79,IF(C93=C80,O80,IF(C93=C81,O81,IF(C93=C82,O82,IF(C93=C83,O83,IF($C$93=C84,O84,IF($C$93=C85,O85,O72))))))))))))))))))))))))</f>
        <v xml:space="preserve"> 150#</v>
      </c>
      <c r="P93" s="146" t="str">
        <f>IF(C93=C61,P61,IF(C93=C62,P62,IF(C93=C63,P63,IF(C93=C64,P64,IF(C93=C65,P65,IF(C93=C66,P66,IF(C93=C67,P67,IF(C93=C68,P68,IF(C93=C69,P69,IF(C93=C70,P70,IF(C93=C71,P71,IF(C93=C73,P73,IF(C93=C74,P74,IF(C93=C75,P75,IF(C93=C76,P76,IF(C93=C77,P77,IF(C93=C78,P78,IF(C93=C79,P79,IF(C93=C80,P80,IF(C93=C81,P81,IF(C93=C82,P82,IF(C93=C83,P83,IF($C$93=C84,P84,IF($C$93=C85,P85,P72))))))))))))))))))))))))</f>
        <v>520</v>
      </c>
      <c r="Q93" s="147">
        <f>IF(C93=C61,Q61,IF(C93=C62,Q62,IF(C93=C63,Q63,IF(C93=C64,Q64,IF(C93=C65,Q65,IF(C93=C66,Q66,IF(C93=C67,Q67,IF(C93=C68,Q68,IF(C93=C69,Q69,IF(C93=C70,Q70,IF(C93=C71,Q71,IF(C93=C73,Q73,IF(C93=C74,Q74,IF(C93=C75,Q75,IF(C93=C76,Q76,IF(C93=C77,Q77,IF(C93=C78,Q78,IF(C93=C79,Q79,IF(C93=C80,Q80,IF(C93=C81,Q81,IF(C93=C82,Q82,IF(C93=C83,Q83,IF($C$93=C84,Q84,IF($C$93=C85,Q85,Q72))))))))))))))))))))))))</f>
        <v>1150</v>
      </c>
    </row>
    <row r="94" spans="1:17" x14ac:dyDescent="0.25">
      <c r="A94" s="23"/>
      <c r="G94" s="153">
        <f>'[1]Vessel Weights'!D46</f>
        <v>10</v>
      </c>
      <c r="I94" s="58"/>
      <c r="J94" s="58"/>
      <c r="K94" s="58"/>
    </row>
    <row r="95" spans="1:17" ht="15.75" thickBot="1" x14ac:dyDescent="0.3">
      <c r="A95" s="23"/>
      <c r="G95" s="154"/>
      <c r="I95" s="58"/>
      <c r="J95" s="58"/>
      <c r="K95" s="58"/>
    </row>
    <row r="96" spans="1:17" ht="15.75" thickBot="1" x14ac:dyDescent="0.3">
      <c r="A96" s="23"/>
      <c r="B96" s="58"/>
      <c r="C96" s="148"/>
      <c r="E96" s="148"/>
      <c r="F96" s="148"/>
      <c r="G96" s="149" t="s">
        <v>207</v>
      </c>
    </row>
    <row r="97" spans="1:18" x14ac:dyDescent="0.25">
      <c r="A97" s="23"/>
      <c r="B97" s="150"/>
      <c r="C97" s="151"/>
      <c r="D97" s="23"/>
      <c r="E97" s="151"/>
      <c r="F97" s="151"/>
      <c r="G97" s="151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</row>
  </sheetData>
  <mergeCells count="52">
    <mergeCell ref="B8:C8"/>
    <mergeCell ref="B2:C2"/>
    <mergeCell ref="B3:C3"/>
    <mergeCell ref="B4:C4"/>
    <mergeCell ref="B6:C6"/>
    <mergeCell ref="B7:C7"/>
    <mergeCell ref="B9:C9"/>
    <mergeCell ref="B10:C10"/>
    <mergeCell ref="B11:C11"/>
    <mergeCell ref="D11:E11"/>
    <mergeCell ref="B12:C12"/>
    <mergeCell ref="D12:E12"/>
    <mergeCell ref="B53:D53"/>
    <mergeCell ref="B15:Q15"/>
    <mergeCell ref="B16:D16"/>
    <mergeCell ref="B17:D17"/>
    <mergeCell ref="B19:L19"/>
    <mergeCell ref="N19:N20"/>
    <mergeCell ref="O19:Q19"/>
    <mergeCell ref="B20:D20"/>
    <mergeCell ref="B21:D21"/>
    <mergeCell ref="E29:E30"/>
    <mergeCell ref="H30:H37"/>
    <mergeCell ref="B36:B46"/>
    <mergeCell ref="B49:C49"/>
    <mergeCell ref="B56:Q57"/>
    <mergeCell ref="B58:B60"/>
    <mergeCell ref="C58:C60"/>
    <mergeCell ref="D58:D60"/>
    <mergeCell ref="E58:E60"/>
    <mergeCell ref="F58:G58"/>
    <mergeCell ref="H58:H59"/>
    <mergeCell ref="I58:I60"/>
    <mergeCell ref="J58:J60"/>
    <mergeCell ref="K58:K60"/>
    <mergeCell ref="P90:P91"/>
    <mergeCell ref="Q90:Q91"/>
    <mergeCell ref="L58:O59"/>
    <mergeCell ref="P58:P59"/>
    <mergeCell ref="Q58:Q59"/>
    <mergeCell ref="B88:Q89"/>
    <mergeCell ref="B90:B92"/>
    <mergeCell ref="C90:C92"/>
    <mergeCell ref="D90:D92"/>
    <mergeCell ref="E90:E92"/>
    <mergeCell ref="F90:G90"/>
    <mergeCell ref="H90:H91"/>
    <mergeCell ref="G94:G95"/>
    <mergeCell ref="I90:I92"/>
    <mergeCell ref="J90:J92"/>
    <mergeCell ref="K90:K92"/>
    <mergeCell ref="L90:O91"/>
  </mergeCells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4500"/>
  </sheetPr>
  <dimension ref="A10"/>
  <sheetViews>
    <sheetView tabSelected="1" workbookViewId="0"/>
  </sheetViews>
  <sheetFormatPr defaultRowHeight="15" x14ac:dyDescent="0.25"/>
  <sheetData>
    <row r="10" spans="1:1" ht="24.95" customHeight="1" x14ac:dyDescent="0.3">
      <c r="A10" s="152" t="s">
        <v>208</v>
      </c>
    </row>
  </sheetData>
  <sheetProtection algorithmName="SHA-512" hashValue="UCilp+itn1iz43lttggEZqqyPSSTN1RoK405Y1h+fJg05px8jl7eMNSYHkDUNz0IH8AwQAWsU4hJIFtqnIn1Bg==" saltValue="rytBjFjBy1LHRcDcOEkn9Q==" spinCount="100000" sheet="1" objects="1" scenarios="1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Bohlouli Hossein</dc:creator>
  <cp:lastModifiedBy>SYSTEM</cp:lastModifiedBy>
  <dcterms:created xsi:type="dcterms:W3CDTF">2015-06-05T18:17:20Z</dcterms:created>
  <dcterms:modified xsi:type="dcterms:W3CDTF">2026-08-24T05:14:57Z</dcterms:modified>
</cp:coreProperties>
</file>