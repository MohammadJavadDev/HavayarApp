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Uploads\SizingExcels\"/>
    </mc:Choice>
  </mc:AlternateContent>
  <bookViews>
    <workbookView xWindow="-120" yWindow="-120" windowWidth="29040" windowHeight="15840" activeTab="1"/>
  </bookViews>
  <sheets>
    <sheet name="Sheet1" sheetId="3" r:id="rId1"/>
    <sheet name="Evaluation Warning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3" l="1"/>
  <c r="B15" i="3" s="1"/>
  <c r="D15" i="3" s="1"/>
  <c r="B13" i="3"/>
  <c r="D13" i="3" s="1"/>
  <c r="S8" i="3"/>
  <c r="Q8" i="3"/>
  <c r="O8" i="3"/>
  <c r="M8" i="3"/>
  <c r="L8" i="3"/>
  <c r="I8" i="3"/>
  <c r="H8" i="3"/>
  <c r="G8" i="3"/>
  <c r="F8" i="3"/>
  <c r="E8" i="3"/>
  <c r="D14" i="3" l="1"/>
  <c r="D38" i="3" s="1"/>
  <c r="B43" i="3" s="1"/>
  <c r="H43" i="3" l="1"/>
  <c r="G43" i="3"/>
  <c r="F43" i="3"/>
  <c r="E43" i="3"/>
  <c r="D43" i="3"/>
</calcChain>
</file>

<file path=xl/sharedStrings.xml><?xml version="1.0" encoding="utf-8"?>
<sst xmlns="http://schemas.openxmlformats.org/spreadsheetml/2006/main" count="130" uniqueCount="71">
  <si>
    <t>Flow Rate</t>
  </si>
  <si>
    <t>According to PID and DSH</t>
  </si>
  <si>
    <r>
      <t>Nm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</t>
    </r>
  </si>
  <si>
    <t>Correction Factor</t>
  </si>
  <si>
    <t>Operating Pressure (Bar)</t>
  </si>
  <si>
    <t>Operating Pressure (PSI)</t>
  </si>
  <si>
    <t>Interpolation</t>
  </si>
  <si>
    <t>3/8"</t>
  </si>
  <si>
    <t>1/2"</t>
  </si>
  <si>
    <t>3/4"</t>
  </si>
  <si>
    <t>1"</t>
  </si>
  <si>
    <t>11/2"</t>
  </si>
  <si>
    <t>2"</t>
  </si>
  <si>
    <t>21/2"</t>
  </si>
  <si>
    <t>3"</t>
  </si>
  <si>
    <t>Pressure</t>
  </si>
  <si>
    <t>Corr. Factor</t>
  </si>
  <si>
    <t>Calculation:</t>
  </si>
  <si>
    <t>Barg</t>
  </si>
  <si>
    <t>Technical Data</t>
  </si>
  <si>
    <t>Model</t>
  </si>
  <si>
    <t>CKL 005 B</t>
  </si>
  <si>
    <t>CKL 007 B</t>
  </si>
  <si>
    <t>CKL 010 B</t>
  </si>
  <si>
    <t>CKL 018 B</t>
  </si>
  <si>
    <t>CKL 047 B</t>
  </si>
  <si>
    <t>CKL 094 B</t>
  </si>
  <si>
    <t>CKL 150 B</t>
  </si>
  <si>
    <t xml:space="preserve">Pipe size </t>
  </si>
  <si>
    <t>DN</t>
  </si>
  <si>
    <t>3/8</t>
  </si>
  <si>
    <t>1/2</t>
  </si>
  <si>
    <t>3/4</t>
  </si>
  <si>
    <t>1</t>
  </si>
  <si>
    <t>11/2</t>
  </si>
  <si>
    <t>2</t>
  </si>
  <si>
    <t>21/2</t>
  </si>
  <si>
    <t>3</t>
  </si>
  <si>
    <t>Max Oper. Pressure</t>
  </si>
  <si>
    <t>bar/psi</t>
  </si>
  <si>
    <t>16/232</t>
  </si>
  <si>
    <r>
      <t>Nm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</t>
    </r>
  </si>
  <si>
    <t>SCFM</t>
  </si>
  <si>
    <t>FLOW RATE @7 Barg, 20°C</t>
  </si>
  <si>
    <t>Dimension (mm)</t>
  </si>
  <si>
    <t>A</t>
  </si>
  <si>
    <t>B</t>
  </si>
  <si>
    <t>C</t>
  </si>
  <si>
    <t>D</t>
  </si>
  <si>
    <t>Kg</t>
  </si>
  <si>
    <t>Mass</t>
  </si>
  <si>
    <t>Temp.
oper. Range</t>
  </si>
  <si>
    <t>° C</t>
  </si>
  <si>
    <t>1.5 - 65</t>
  </si>
  <si>
    <t>1.5 - 66</t>
  </si>
  <si>
    <t>CKL-C 20</t>
  </si>
  <si>
    <t>CKL-C 21</t>
  </si>
  <si>
    <t>CKL-C 30</t>
  </si>
  <si>
    <t>CKL-C 31</t>
  </si>
  <si>
    <t>CKL-C 40</t>
  </si>
  <si>
    <t>CKL-C 43</t>
  </si>
  <si>
    <t>CKL-C 50</t>
  </si>
  <si>
    <t>CKL-C 52</t>
  </si>
  <si>
    <t>CKL-C 61</t>
  </si>
  <si>
    <t>20/290</t>
  </si>
  <si>
    <t>standard colour</t>
  </si>
  <si>
    <t>RAL 9005</t>
  </si>
  <si>
    <t>quality class - water (ISO 8573-1)</t>
  </si>
  <si>
    <t>CKL 200 SS</t>
  </si>
  <si>
    <r>
      <t xml:space="preserve">Water Trap Selection Based on </t>
    </r>
    <r>
      <rPr>
        <b/>
        <u/>
        <sz val="18"/>
        <color rgb="FFFF0000"/>
        <rFont val="Calibri"/>
        <family val="2"/>
        <scheme val="minor"/>
      </rPr>
      <t>OMEGA</t>
    </r>
    <r>
      <rPr>
        <b/>
        <sz val="18"/>
        <color theme="1"/>
        <rFont val="Calibri"/>
        <family val="2"/>
        <scheme val="minor"/>
      </rPr>
      <t xml:space="preserve"> Catalog</t>
    </r>
  </si>
  <si>
    <t>Created with a trial version of Syncfusion Essential XlsIO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</si>
</sst>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i/>
      <sz val="10"/>
      <color rgb="FF0070C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/>
    <xf numFmtId="1" fontId="0" fillId="2" borderId="3" xfId="0" applyNumberFormat="1" applyFill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6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18" fillId="0" borderId="0" xfId="0" applyFont="1"/>
    <xf numFmtId="0" fontId="0" fillId="2" borderId="0" xfId="0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3" fillId="2" borderId="0" xfId="0" applyFont="1" applyFill="1"/>
    <xf numFmtId="0" fontId="0" fillId="2" borderId="0" xfId="0" applyFill="1" applyAlignment="1">
      <alignment vertical="center"/>
    </xf>
    <xf numFmtId="164" fontId="8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11" fillId="0" borderId="0" xfId="0" applyNumberFormat="1" applyFont="1"/>
    <xf numFmtId="0" fontId="9" fillId="4" borderId="26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17" fillId="2" borderId="26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27" xfId="0" applyFont="1" applyFill="1" applyBorder="1" applyAlignment="1">
      <alignment horizontal="center" vertical="center"/>
    </xf>
    <xf numFmtId="0" fontId="14" fillId="2" borderId="47" xfId="0" applyFont="1" applyFill="1" applyBorder="1" applyAlignment="1">
      <alignment horizontal="left" vertical="center"/>
    </xf>
    <xf numFmtId="0" fontId="14" fillId="2" borderId="48" xfId="0" applyFont="1" applyFill="1" applyBorder="1" applyAlignment="1">
      <alignment horizontal="left" vertical="center"/>
    </xf>
    <xf numFmtId="0" fontId="14" fillId="2" borderId="49" xfId="0" applyFont="1" applyFill="1" applyBorder="1" applyAlignment="1">
      <alignment horizontal="left" vertical="center"/>
    </xf>
    <xf numFmtId="0" fontId="14" fillId="2" borderId="32" xfId="0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6" fillId="2" borderId="26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0" fontId="0" fillId="2" borderId="44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 wrapText="1"/>
    </xf>
    <xf numFmtId="0" fontId="0" fillId="2" borderId="45" xfId="0" applyFill="1" applyBorder="1" applyAlignment="1">
      <alignment horizontal="center" vertical="center" wrapText="1"/>
    </xf>
    <xf numFmtId="0" fontId="0" fillId="2" borderId="42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/>
    </xf>
    <xf numFmtId="49" fontId="0" fillId="2" borderId="36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31" xfId="0" applyNumberFormat="1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5" fillId="2" borderId="16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49" fontId="0" fillId="2" borderId="41" xfId="0" applyNumberForma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6" fillId="2" borderId="6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2" fontId="4" fillId="2" borderId="26" xfId="0" applyNumberFormat="1" applyFont="1" applyFill="1" applyBorder="1" applyAlignment="1">
      <alignment horizontal="center" vertical="center"/>
    </xf>
    <xf numFmtId="2" fontId="4" fillId="2" borderId="27" xfId="0" applyNumberFormat="1" applyFont="1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198239</xdr:colOff>
      <xdr:row>38</xdr:row>
      <xdr:rowOff>91440</xdr:rowOff>
    </xdr:from>
    <xdr:to>
      <xdr:col>19</xdr:col>
      <xdr:colOff>76200</xdr:colOff>
      <xdr:row>54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7FADC4-53F5-4C5F-9277-C9E60108F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rgbClr val="000000"/>
            <a:srgbClr val="C4C4C4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4096" y="7978140"/>
          <a:ext cx="1706880" cy="170688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topLeftCell="A25" workbookViewId="0">
      <selection activeCell="G5" sqref="G5"/>
    </sheetView>
  </sheetViews>
  <sheetFormatPr defaultRowHeight="15" x14ac:dyDescent="0.25"/>
  <sheetData>
    <row r="1" spans="1:24" ht="24" thickBot="1" x14ac:dyDescent="0.3">
      <c r="A1" s="35" t="s">
        <v>69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7"/>
    </row>
    <row r="2" spans="1:24" ht="15.75" thickBot="1" x14ac:dyDescent="0.3"/>
    <row r="3" spans="1:24" ht="18.75" thickBot="1" x14ac:dyDescent="0.3">
      <c r="D3" s="38" t="s">
        <v>0</v>
      </c>
      <c r="E3" s="39"/>
      <c r="F3" s="40"/>
      <c r="G3" s="51">
        <v>32</v>
      </c>
      <c r="H3" s="52">
        <v>32</v>
      </c>
      <c r="I3" s="41" t="s">
        <v>2</v>
      </c>
      <c r="J3" s="42"/>
      <c r="K3" s="43" t="s">
        <v>1</v>
      </c>
      <c r="L3" s="44"/>
      <c r="M3" s="44"/>
      <c r="N3" s="44"/>
      <c r="O3" s="44"/>
      <c r="P3" s="44"/>
      <c r="Q3" s="44"/>
      <c r="R3" s="44"/>
      <c r="S3" s="44"/>
      <c r="T3" s="44"/>
      <c r="U3" s="45"/>
    </row>
    <row r="4" spans="1:24" ht="15.75" thickBot="1" x14ac:dyDescent="0.3">
      <c r="D4" s="46" t="s">
        <v>15</v>
      </c>
      <c r="E4" s="47"/>
      <c r="F4" s="48"/>
      <c r="G4" s="53">
        <v>31</v>
      </c>
      <c r="H4" s="54">
        <v>31</v>
      </c>
      <c r="I4" s="49" t="s">
        <v>18</v>
      </c>
      <c r="J4" s="50"/>
      <c r="K4" s="43" t="s">
        <v>1</v>
      </c>
      <c r="L4" s="44"/>
      <c r="M4" s="44"/>
      <c r="N4" s="44"/>
      <c r="O4" s="44"/>
      <c r="P4" s="44"/>
      <c r="Q4" s="44"/>
      <c r="R4" s="44"/>
      <c r="S4" s="44"/>
      <c r="T4" s="44"/>
      <c r="U4" s="45"/>
    </row>
    <row r="5" spans="1:24" ht="15.75" thickBot="1" x14ac:dyDescent="0.3">
      <c r="F5" s="2"/>
    </row>
    <row r="6" spans="1:24" ht="19.5" thickBot="1" x14ac:dyDescent="0.3">
      <c r="A6" s="5"/>
      <c r="B6" s="65" t="s">
        <v>3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7"/>
      <c r="X6" s="5"/>
    </row>
    <row r="7" spans="1:24" x14ac:dyDescent="0.25">
      <c r="A7" s="5"/>
      <c r="B7" s="68" t="s">
        <v>4</v>
      </c>
      <c r="C7" s="69"/>
      <c r="D7" s="69"/>
      <c r="E7" s="23">
        <v>2</v>
      </c>
      <c r="F7" s="8">
        <v>3</v>
      </c>
      <c r="G7" s="8">
        <v>4</v>
      </c>
      <c r="H7" s="8">
        <v>5</v>
      </c>
      <c r="I7" s="8">
        <v>6</v>
      </c>
      <c r="J7" s="8">
        <v>7</v>
      </c>
      <c r="K7" s="8">
        <v>8</v>
      </c>
      <c r="L7" s="8">
        <v>9</v>
      </c>
      <c r="M7" s="8">
        <v>10</v>
      </c>
      <c r="N7" s="8">
        <v>11</v>
      </c>
      <c r="O7" s="8">
        <v>12</v>
      </c>
      <c r="P7" s="8">
        <v>13</v>
      </c>
      <c r="Q7" s="8">
        <v>14</v>
      </c>
      <c r="R7" s="8">
        <v>15</v>
      </c>
      <c r="S7" s="8">
        <v>16</v>
      </c>
      <c r="T7" s="8">
        <v>17</v>
      </c>
      <c r="U7" s="8">
        <v>18</v>
      </c>
      <c r="V7" s="8">
        <v>19</v>
      </c>
      <c r="W7" s="24">
        <v>20</v>
      </c>
      <c r="X7" s="5"/>
    </row>
    <row r="8" spans="1:24" x14ac:dyDescent="0.25">
      <c r="A8" s="5"/>
      <c r="B8" s="70" t="s">
        <v>5</v>
      </c>
      <c r="C8" s="71"/>
      <c r="D8" s="71"/>
      <c r="E8" s="9">
        <f>ROUNDDOWN(E7*14.50377,0)</f>
        <v>29</v>
      </c>
      <c r="F8" s="6">
        <f>ROUNDDOWN(F7*14.50377,0)</f>
        <v>43</v>
      </c>
      <c r="G8" s="6">
        <f>ROUNDDOWN(G7*14.50377,0)</f>
        <v>58</v>
      </c>
      <c r="H8" s="6">
        <f>ROUNDDOWN(H7*14.50377,0)</f>
        <v>72</v>
      </c>
      <c r="I8" s="6">
        <f>ROUNDDOWN(I7*14.50377,0)</f>
        <v>87</v>
      </c>
      <c r="J8" s="6">
        <v>100</v>
      </c>
      <c r="K8" s="6">
        <v>115</v>
      </c>
      <c r="L8" s="6">
        <f>ROUNDDOWN(L7*14.50377,0)</f>
        <v>130</v>
      </c>
      <c r="M8" s="6">
        <f>ROUNDDOWN(M7*14.50377,0)</f>
        <v>145</v>
      </c>
      <c r="N8" s="6">
        <v>160</v>
      </c>
      <c r="O8" s="6">
        <f>ROUNDDOWN(O7*14.50377,0)</f>
        <v>174</v>
      </c>
      <c r="P8" s="6">
        <v>189</v>
      </c>
      <c r="Q8" s="6">
        <f>ROUNDDOWN(Q7*14.50377,0)</f>
        <v>203</v>
      </c>
      <c r="R8" s="6">
        <v>218</v>
      </c>
      <c r="S8" s="6">
        <f>ROUNDDOWN(S7*14.50377,0)</f>
        <v>232</v>
      </c>
      <c r="T8" s="6">
        <v>247</v>
      </c>
      <c r="U8" s="6">
        <v>261</v>
      </c>
      <c r="V8" s="6">
        <v>276</v>
      </c>
      <c r="W8" s="7">
        <v>290</v>
      </c>
      <c r="X8" s="5"/>
    </row>
    <row r="9" spans="1:24" ht="15.75" thickBot="1" x14ac:dyDescent="0.3">
      <c r="A9" s="5"/>
      <c r="B9" s="72" t="s">
        <v>3</v>
      </c>
      <c r="C9" s="73"/>
      <c r="D9" s="74"/>
      <c r="E9" s="21">
        <v>0.38</v>
      </c>
      <c r="F9" s="19">
        <v>0.5</v>
      </c>
      <c r="G9" s="19">
        <v>0.63</v>
      </c>
      <c r="H9" s="19">
        <v>0.75</v>
      </c>
      <c r="I9" s="19">
        <v>0.88</v>
      </c>
      <c r="J9" s="19">
        <v>1</v>
      </c>
      <c r="K9" s="19">
        <v>1.1299999999999999</v>
      </c>
      <c r="L9" s="19">
        <v>1.25</v>
      </c>
      <c r="M9" s="19">
        <v>1.38</v>
      </c>
      <c r="N9" s="19">
        <v>1.5</v>
      </c>
      <c r="O9" s="19">
        <v>1.63</v>
      </c>
      <c r="P9" s="19">
        <v>1.75</v>
      </c>
      <c r="Q9" s="19">
        <v>1.88</v>
      </c>
      <c r="R9" s="19">
        <v>2</v>
      </c>
      <c r="S9" s="19">
        <v>2.13</v>
      </c>
      <c r="T9" s="19">
        <v>2.25</v>
      </c>
      <c r="U9" s="19">
        <v>2.38</v>
      </c>
      <c r="V9" s="19">
        <v>2.5</v>
      </c>
      <c r="W9" s="22">
        <v>2.63</v>
      </c>
      <c r="X9" s="5"/>
    </row>
    <row r="10" spans="1:24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5.75" thickBot="1" x14ac:dyDescent="0.3">
      <c r="A11" s="5"/>
      <c r="B11" s="75" t="s">
        <v>6</v>
      </c>
      <c r="C11" s="76"/>
      <c r="D11" s="76"/>
      <c r="E11" s="77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5.75" thickBot="1" x14ac:dyDescent="0.3">
      <c r="A12" s="5"/>
      <c r="B12" s="78" t="s">
        <v>15</v>
      </c>
      <c r="C12" s="79"/>
      <c r="D12" s="80" t="s">
        <v>16</v>
      </c>
      <c r="E12" s="81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x14ac:dyDescent="0.25">
      <c r="A13" s="5"/>
      <c r="B13" s="55">
        <f>ROUNDDOWN(B14,0)</f>
        <v>31</v>
      </c>
      <c r="C13" s="56"/>
      <c r="D13" s="57" t="b">
        <f>IF(B13=E7,E9,IF(B13=F7,F9,IF(B13=G7,G9,IF(B13=H7,H9,IF(B13=I7,I9,IF(B13=J7,J9,IF(B13=K7,K9,IF(B13=L7,L9,IF(B13=M7,M9,IF(B13=N7,N9,IF(B13=O7,O9,IF(B13=P7,P9,IF(B13=Q7,Q9,IF(B13=R7,R9,IF(B13=S7,S9,IF(B13=T7,T9,IF(B13=U7,U9,IF(B13=V7,V9,IF(B13=W7,W9)))))))))))))))))))</f>
        <v>0</v>
      </c>
      <c r="E13" s="58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x14ac:dyDescent="0.25">
      <c r="A14" s="5"/>
      <c r="B14" s="59">
        <f>G4</f>
        <v>31</v>
      </c>
      <c r="C14" s="60"/>
      <c r="D14" s="59" t="e">
        <f>IF(B14=E7,E9,IF(B14=F7,F9,IF(B14=G7,G9,IF(B14=H7,H9,IF(B14=I7,I9,IF(B14=J7,J9,IF(B14=K7,K9,IF(B14=L7,L9,IF(B14=M7,M9,IF(B14=N7,N9,IF(B14=O7,O9,IF(B14=P7,P9,IF(B14=Q7,Q9,IF(B14=R7,R9,IF(B14=S7,S9,IF(B14=T7,T9,IF(B14=U7,U9,IF(B14=V7,V9,IF(B14=W7,W9,(((B14-B13)*(D15-D13))/(B15-B13))+D13)))))))))))))))))))</f>
        <v>#DIV/0!</v>
      </c>
      <c r="E14" s="61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5.75" thickBot="1" x14ac:dyDescent="0.3">
      <c r="A15" s="5"/>
      <c r="B15" s="62">
        <f>ROUNDUP(B14,0)</f>
        <v>31</v>
      </c>
      <c r="C15" s="63"/>
      <c r="D15" s="62" t="b">
        <f>IF(B15=E7,E9,IF(B15=F7,F9,IF(B15=G7,G9,IF(B15=H7,H9,IF(B15=I7,I9,IF(B15=J7,J9,IF(B15=K7,K9,IF(B15=L7,L9,IF(B15=M7,M9,IF(B15=N7,N9,IF(B15=O7,O9,IF(B15=P7,P9,IF(B15=Q7,Q9,IF(B15=R7,R9,IF(B15=S7,S9,IF(B15=T7,T9,IF(B15=U7,U9,IF(B15=V7,V9,IF(B15=W7,W9)))))))))))))))))))</f>
        <v>0</v>
      </c>
      <c r="E15" s="6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5.75" thickBot="1" x14ac:dyDescent="0.3">
      <c r="A16" s="5"/>
      <c r="B16" s="26"/>
      <c r="C16" s="26"/>
      <c r="D16" s="26"/>
      <c r="E16" s="2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9.5" thickBot="1" x14ac:dyDescent="0.3">
      <c r="A17" s="5"/>
      <c r="B17" s="65" t="s">
        <v>19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7"/>
      <c r="X17" s="5"/>
    </row>
    <row r="18" spans="1:24" ht="15.75" customHeight="1" thickBot="1" x14ac:dyDescent="0.3">
      <c r="A18" s="5"/>
      <c r="B18" s="82" t="s">
        <v>20</v>
      </c>
      <c r="C18" s="83"/>
      <c r="D18" s="86" t="s">
        <v>28</v>
      </c>
      <c r="E18" s="87"/>
      <c r="F18" s="88" t="s">
        <v>38</v>
      </c>
      <c r="G18" s="89"/>
      <c r="H18" s="90" t="s">
        <v>43</v>
      </c>
      <c r="I18" s="91"/>
      <c r="J18" s="91"/>
      <c r="K18" s="92"/>
      <c r="L18" s="90" t="s">
        <v>51</v>
      </c>
      <c r="M18" s="93"/>
      <c r="N18" s="94" t="s">
        <v>44</v>
      </c>
      <c r="O18" s="95"/>
      <c r="P18" s="95"/>
      <c r="Q18" s="93"/>
      <c r="R18" s="14" t="s">
        <v>50</v>
      </c>
      <c r="S18" s="96" t="s">
        <v>65</v>
      </c>
      <c r="T18" s="97"/>
      <c r="U18" s="96" t="s">
        <v>67</v>
      </c>
      <c r="V18" s="97"/>
      <c r="W18" s="100"/>
      <c r="X18" s="5"/>
    </row>
    <row r="19" spans="1:24" ht="18" thickBot="1" x14ac:dyDescent="0.3">
      <c r="A19" s="5"/>
      <c r="B19" s="84"/>
      <c r="C19" s="85"/>
      <c r="D19" s="94" t="s">
        <v>29</v>
      </c>
      <c r="E19" s="93"/>
      <c r="F19" s="94" t="s">
        <v>39</v>
      </c>
      <c r="G19" s="93"/>
      <c r="H19" s="102" t="s">
        <v>41</v>
      </c>
      <c r="I19" s="102"/>
      <c r="J19" s="94" t="s">
        <v>42</v>
      </c>
      <c r="K19" s="93"/>
      <c r="L19" s="94" t="s">
        <v>52</v>
      </c>
      <c r="M19" s="93"/>
      <c r="N19" s="20" t="s">
        <v>45</v>
      </c>
      <c r="O19" s="3" t="s">
        <v>46</v>
      </c>
      <c r="P19" s="3" t="s">
        <v>47</v>
      </c>
      <c r="Q19" s="20" t="s">
        <v>48</v>
      </c>
      <c r="R19" s="4" t="s">
        <v>49</v>
      </c>
      <c r="S19" s="98"/>
      <c r="T19" s="99"/>
      <c r="U19" s="98"/>
      <c r="V19" s="99"/>
      <c r="W19" s="101"/>
      <c r="X19" s="5"/>
    </row>
    <row r="20" spans="1:24" x14ac:dyDescent="0.25">
      <c r="A20" s="5"/>
      <c r="B20" s="103" t="s">
        <v>21</v>
      </c>
      <c r="C20" s="104"/>
      <c r="D20" s="105" t="s">
        <v>30</v>
      </c>
      <c r="E20" s="106"/>
      <c r="F20" s="107" t="s">
        <v>40</v>
      </c>
      <c r="G20" s="108"/>
      <c r="H20" s="107">
        <v>60</v>
      </c>
      <c r="I20" s="108"/>
      <c r="J20" s="107">
        <v>35</v>
      </c>
      <c r="K20" s="108"/>
      <c r="L20" s="109" t="s">
        <v>53</v>
      </c>
      <c r="M20" s="110"/>
      <c r="N20" s="8">
        <v>187</v>
      </c>
      <c r="O20" s="8">
        <v>88</v>
      </c>
      <c r="P20" s="8">
        <v>20</v>
      </c>
      <c r="Q20" s="8">
        <v>60</v>
      </c>
      <c r="R20" s="17">
        <v>0.7</v>
      </c>
      <c r="S20" s="107" t="s">
        <v>66</v>
      </c>
      <c r="T20" s="108"/>
      <c r="U20" s="111">
        <v>8</v>
      </c>
      <c r="V20" s="112"/>
      <c r="W20" s="113"/>
      <c r="X20" s="5"/>
    </row>
    <row r="21" spans="1:24" x14ac:dyDescent="0.25">
      <c r="A21" s="5"/>
      <c r="B21" s="114" t="s">
        <v>22</v>
      </c>
      <c r="C21" s="115"/>
      <c r="D21" s="116" t="s">
        <v>31</v>
      </c>
      <c r="E21" s="117"/>
      <c r="F21" s="56" t="s">
        <v>40</v>
      </c>
      <c r="G21" s="118"/>
      <c r="H21" s="119">
        <v>78</v>
      </c>
      <c r="I21" s="120"/>
      <c r="J21" s="119">
        <v>46</v>
      </c>
      <c r="K21" s="120"/>
      <c r="L21" s="121" t="s">
        <v>53</v>
      </c>
      <c r="M21" s="121"/>
      <c r="N21" s="16">
        <v>187</v>
      </c>
      <c r="O21" s="16">
        <v>88</v>
      </c>
      <c r="P21" s="16">
        <v>20</v>
      </c>
      <c r="Q21" s="16">
        <v>60</v>
      </c>
      <c r="R21" s="15">
        <v>0.7</v>
      </c>
      <c r="S21" s="119" t="s">
        <v>66</v>
      </c>
      <c r="T21" s="120"/>
      <c r="U21" s="122">
        <v>8</v>
      </c>
      <c r="V21" s="123"/>
      <c r="W21" s="124"/>
      <c r="X21" s="5"/>
    </row>
    <row r="22" spans="1:24" x14ac:dyDescent="0.25">
      <c r="A22" s="5"/>
      <c r="B22" s="114" t="s">
        <v>23</v>
      </c>
      <c r="C22" s="115"/>
      <c r="D22" s="116" t="s">
        <v>32</v>
      </c>
      <c r="E22" s="117"/>
      <c r="F22" s="56" t="s">
        <v>40</v>
      </c>
      <c r="G22" s="118"/>
      <c r="H22" s="119">
        <v>120</v>
      </c>
      <c r="I22" s="120"/>
      <c r="J22" s="119">
        <v>70</v>
      </c>
      <c r="K22" s="120"/>
      <c r="L22" s="121" t="s">
        <v>53</v>
      </c>
      <c r="M22" s="121"/>
      <c r="N22" s="16">
        <v>257</v>
      </c>
      <c r="O22" s="16">
        <v>88</v>
      </c>
      <c r="P22" s="16">
        <v>20</v>
      </c>
      <c r="Q22" s="16">
        <v>80</v>
      </c>
      <c r="R22" s="15">
        <v>0.8</v>
      </c>
      <c r="S22" s="119" t="s">
        <v>66</v>
      </c>
      <c r="T22" s="120"/>
      <c r="U22" s="122">
        <v>8</v>
      </c>
      <c r="V22" s="123"/>
      <c r="W22" s="124"/>
      <c r="X22" s="5"/>
    </row>
    <row r="23" spans="1:24" x14ac:dyDescent="0.25">
      <c r="A23" s="5"/>
      <c r="B23" s="114" t="s">
        <v>24</v>
      </c>
      <c r="C23" s="115"/>
      <c r="D23" s="116" t="s">
        <v>33</v>
      </c>
      <c r="E23" s="117"/>
      <c r="F23" s="56" t="s">
        <v>40</v>
      </c>
      <c r="G23" s="118"/>
      <c r="H23" s="119">
        <v>198</v>
      </c>
      <c r="I23" s="120"/>
      <c r="J23" s="119">
        <v>116</v>
      </c>
      <c r="K23" s="120"/>
      <c r="L23" s="121" t="s">
        <v>53</v>
      </c>
      <c r="M23" s="121"/>
      <c r="N23" s="16">
        <v>263</v>
      </c>
      <c r="O23" s="16">
        <v>125</v>
      </c>
      <c r="P23" s="16">
        <v>32</v>
      </c>
      <c r="Q23" s="16">
        <v>100</v>
      </c>
      <c r="R23" s="15">
        <v>1.8</v>
      </c>
      <c r="S23" s="119" t="s">
        <v>66</v>
      </c>
      <c r="T23" s="120"/>
      <c r="U23" s="122">
        <v>8</v>
      </c>
      <c r="V23" s="123"/>
      <c r="W23" s="124"/>
      <c r="X23" s="5"/>
    </row>
    <row r="24" spans="1:24" x14ac:dyDescent="0.25">
      <c r="A24" s="5"/>
      <c r="B24" s="114" t="s">
        <v>25</v>
      </c>
      <c r="C24" s="115"/>
      <c r="D24" s="116" t="s">
        <v>34</v>
      </c>
      <c r="E24" s="117"/>
      <c r="F24" s="56" t="s">
        <v>40</v>
      </c>
      <c r="G24" s="118"/>
      <c r="H24" s="119">
        <v>510</v>
      </c>
      <c r="I24" s="120"/>
      <c r="J24" s="119">
        <v>300</v>
      </c>
      <c r="K24" s="120"/>
      <c r="L24" s="121" t="s">
        <v>53</v>
      </c>
      <c r="M24" s="121"/>
      <c r="N24" s="16">
        <v>461</v>
      </c>
      <c r="O24" s="16">
        <v>125</v>
      </c>
      <c r="P24" s="16">
        <v>32</v>
      </c>
      <c r="Q24" s="16">
        <v>140</v>
      </c>
      <c r="R24" s="15">
        <v>2.5</v>
      </c>
      <c r="S24" s="119" t="s">
        <v>66</v>
      </c>
      <c r="T24" s="120"/>
      <c r="U24" s="122">
        <v>8</v>
      </c>
      <c r="V24" s="123"/>
      <c r="W24" s="124"/>
      <c r="X24" s="5"/>
    </row>
    <row r="25" spans="1:24" x14ac:dyDescent="0.25">
      <c r="A25" s="5"/>
      <c r="B25" s="114" t="s">
        <v>26</v>
      </c>
      <c r="C25" s="115"/>
      <c r="D25" s="116" t="s">
        <v>35</v>
      </c>
      <c r="E25" s="117"/>
      <c r="F25" s="56" t="s">
        <v>40</v>
      </c>
      <c r="G25" s="118"/>
      <c r="H25" s="119">
        <v>1000</v>
      </c>
      <c r="I25" s="120"/>
      <c r="J25" s="119">
        <v>588</v>
      </c>
      <c r="K25" s="120"/>
      <c r="L25" s="121" t="s">
        <v>53</v>
      </c>
      <c r="M25" s="121"/>
      <c r="N25" s="16">
        <v>684</v>
      </c>
      <c r="O25" s="16">
        <v>163</v>
      </c>
      <c r="P25" s="16">
        <v>43</v>
      </c>
      <c r="Q25" s="16">
        <v>520</v>
      </c>
      <c r="R25" s="15">
        <v>5.0999999999999996</v>
      </c>
      <c r="S25" s="119" t="s">
        <v>66</v>
      </c>
      <c r="T25" s="120"/>
      <c r="U25" s="122">
        <v>8</v>
      </c>
      <c r="V25" s="123"/>
      <c r="W25" s="124"/>
      <c r="X25" s="5"/>
    </row>
    <row r="26" spans="1:24" x14ac:dyDescent="0.25">
      <c r="A26" s="5"/>
      <c r="B26" s="114" t="s">
        <v>27</v>
      </c>
      <c r="C26" s="115"/>
      <c r="D26" s="116" t="s">
        <v>36</v>
      </c>
      <c r="E26" s="117"/>
      <c r="F26" s="56" t="s">
        <v>40</v>
      </c>
      <c r="G26" s="118"/>
      <c r="H26" s="119">
        <v>1500</v>
      </c>
      <c r="I26" s="120"/>
      <c r="J26" s="119">
        <v>882</v>
      </c>
      <c r="K26" s="120"/>
      <c r="L26" s="121" t="s">
        <v>53</v>
      </c>
      <c r="M26" s="121"/>
      <c r="N26" s="16">
        <v>684</v>
      </c>
      <c r="O26" s="16">
        <v>163</v>
      </c>
      <c r="P26" s="16">
        <v>43</v>
      </c>
      <c r="Q26" s="16">
        <v>520</v>
      </c>
      <c r="R26" s="15">
        <v>5.0999999999999996</v>
      </c>
      <c r="S26" s="119" t="s">
        <v>66</v>
      </c>
      <c r="T26" s="120"/>
      <c r="U26" s="122">
        <v>8</v>
      </c>
      <c r="V26" s="123"/>
      <c r="W26" s="124"/>
      <c r="X26" s="5"/>
    </row>
    <row r="27" spans="1:24" ht="15.75" thickBot="1" x14ac:dyDescent="0.3">
      <c r="A27" s="5"/>
      <c r="B27" s="125" t="s">
        <v>68</v>
      </c>
      <c r="C27" s="126"/>
      <c r="D27" s="127" t="s">
        <v>37</v>
      </c>
      <c r="E27" s="128"/>
      <c r="F27" s="129" t="s">
        <v>40</v>
      </c>
      <c r="G27" s="130"/>
      <c r="H27" s="63">
        <v>2160</v>
      </c>
      <c r="I27" s="131"/>
      <c r="J27" s="63">
        <v>1270</v>
      </c>
      <c r="K27" s="131"/>
      <c r="L27" s="129" t="s">
        <v>53</v>
      </c>
      <c r="M27" s="130"/>
      <c r="N27" s="19">
        <v>795</v>
      </c>
      <c r="O27" s="19">
        <v>240</v>
      </c>
      <c r="P27" s="19">
        <v>59</v>
      </c>
      <c r="Q27" s="19">
        <v>630</v>
      </c>
      <c r="R27" s="18">
        <v>12.9</v>
      </c>
      <c r="S27" s="63" t="s">
        <v>66</v>
      </c>
      <c r="T27" s="131"/>
      <c r="U27" s="132">
        <v>8</v>
      </c>
      <c r="V27" s="133"/>
      <c r="W27" s="134"/>
      <c r="X27" s="5"/>
    </row>
    <row r="28" spans="1:24" x14ac:dyDescent="0.25">
      <c r="A28" s="5"/>
      <c r="B28" s="137" t="s">
        <v>55</v>
      </c>
      <c r="C28" s="138"/>
      <c r="D28" s="105" t="s">
        <v>7</v>
      </c>
      <c r="E28" s="106"/>
      <c r="F28" s="107" t="s">
        <v>64</v>
      </c>
      <c r="G28" s="108"/>
      <c r="H28" s="107">
        <v>72</v>
      </c>
      <c r="I28" s="108"/>
      <c r="J28" s="107">
        <v>42</v>
      </c>
      <c r="K28" s="108"/>
      <c r="L28" s="109" t="s">
        <v>53</v>
      </c>
      <c r="M28" s="110"/>
      <c r="N28" s="8">
        <v>187</v>
      </c>
      <c r="O28" s="8">
        <v>88</v>
      </c>
      <c r="P28" s="8">
        <v>20</v>
      </c>
      <c r="Q28" s="8">
        <v>80</v>
      </c>
      <c r="R28" s="17">
        <v>0.7</v>
      </c>
      <c r="S28" s="107" t="s">
        <v>66</v>
      </c>
      <c r="T28" s="108"/>
      <c r="U28" s="111">
        <v>8</v>
      </c>
      <c r="V28" s="112"/>
      <c r="W28" s="113"/>
      <c r="X28" s="5"/>
    </row>
    <row r="29" spans="1:24" x14ac:dyDescent="0.25">
      <c r="A29" s="5"/>
      <c r="B29" s="135" t="s">
        <v>56</v>
      </c>
      <c r="C29" s="136"/>
      <c r="D29" s="116" t="s">
        <v>8</v>
      </c>
      <c r="E29" s="117"/>
      <c r="F29" s="56" t="s">
        <v>64</v>
      </c>
      <c r="G29" s="118"/>
      <c r="H29" s="119">
        <v>96</v>
      </c>
      <c r="I29" s="120"/>
      <c r="J29" s="119">
        <v>56</v>
      </c>
      <c r="K29" s="120"/>
      <c r="L29" s="121" t="s">
        <v>53</v>
      </c>
      <c r="M29" s="121"/>
      <c r="N29" s="16">
        <v>256</v>
      </c>
      <c r="O29" s="16">
        <v>88</v>
      </c>
      <c r="P29" s="16">
        <v>20</v>
      </c>
      <c r="Q29" s="16">
        <v>80</v>
      </c>
      <c r="R29" s="15">
        <v>0.8</v>
      </c>
      <c r="S29" s="119" t="s">
        <v>66</v>
      </c>
      <c r="T29" s="120"/>
      <c r="U29" s="122">
        <v>8</v>
      </c>
      <c r="V29" s="123"/>
      <c r="W29" s="124"/>
      <c r="X29" s="5"/>
    </row>
    <row r="30" spans="1:24" x14ac:dyDescent="0.25">
      <c r="A30" s="5"/>
      <c r="B30" s="135" t="s">
        <v>57</v>
      </c>
      <c r="C30" s="136"/>
      <c r="D30" s="116" t="s">
        <v>8</v>
      </c>
      <c r="E30" s="117"/>
      <c r="F30" s="56" t="s">
        <v>64</v>
      </c>
      <c r="G30" s="118"/>
      <c r="H30" s="119">
        <v>150</v>
      </c>
      <c r="I30" s="120"/>
      <c r="J30" s="119">
        <v>88</v>
      </c>
      <c r="K30" s="120"/>
      <c r="L30" s="121" t="s">
        <v>53</v>
      </c>
      <c r="M30" s="121"/>
      <c r="N30" s="16">
        <v>278</v>
      </c>
      <c r="O30" s="16">
        <v>106</v>
      </c>
      <c r="P30" s="16">
        <v>25</v>
      </c>
      <c r="Q30" s="16">
        <v>100</v>
      </c>
      <c r="R30" s="15">
        <v>1.3</v>
      </c>
      <c r="S30" s="119" t="s">
        <v>66</v>
      </c>
      <c r="T30" s="120"/>
      <c r="U30" s="122">
        <v>8</v>
      </c>
      <c r="V30" s="123"/>
      <c r="W30" s="124"/>
      <c r="X30" s="5"/>
    </row>
    <row r="31" spans="1:24" x14ac:dyDescent="0.25">
      <c r="A31" s="5"/>
      <c r="B31" s="135" t="s">
        <v>58</v>
      </c>
      <c r="C31" s="136"/>
      <c r="D31" s="116" t="s">
        <v>9</v>
      </c>
      <c r="E31" s="117"/>
      <c r="F31" s="56" t="s">
        <v>64</v>
      </c>
      <c r="G31" s="118"/>
      <c r="H31" s="119">
        <v>216</v>
      </c>
      <c r="I31" s="120"/>
      <c r="J31" s="119">
        <v>127</v>
      </c>
      <c r="K31" s="120"/>
      <c r="L31" s="121" t="s">
        <v>53</v>
      </c>
      <c r="M31" s="121"/>
      <c r="N31" s="16">
        <v>278</v>
      </c>
      <c r="O31" s="16">
        <v>106</v>
      </c>
      <c r="P31" s="16">
        <v>25</v>
      </c>
      <c r="Q31" s="16">
        <v>100</v>
      </c>
      <c r="R31" s="15">
        <v>1.3</v>
      </c>
      <c r="S31" s="119" t="s">
        <v>66</v>
      </c>
      <c r="T31" s="120"/>
      <c r="U31" s="122">
        <v>8</v>
      </c>
      <c r="V31" s="123"/>
      <c r="W31" s="124"/>
      <c r="X31" s="26"/>
    </row>
    <row r="32" spans="1:24" x14ac:dyDescent="0.25">
      <c r="A32" s="5"/>
      <c r="B32" s="135" t="s">
        <v>59</v>
      </c>
      <c r="C32" s="136"/>
      <c r="D32" s="116" t="s">
        <v>10</v>
      </c>
      <c r="E32" s="117"/>
      <c r="F32" s="56" t="s">
        <v>64</v>
      </c>
      <c r="G32" s="118"/>
      <c r="H32" s="119">
        <v>282</v>
      </c>
      <c r="I32" s="120"/>
      <c r="J32" s="119">
        <v>166</v>
      </c>
      <c r="K32" s="120"/>
      <c r="L32" s="121" t="s">
        <v>53</v>
      </c>
      <c r="M32" s="121"/>
      <c r="N32" s="16">
        <v>252</v>
      </c>
      <c r="O32" s="16">
        <v>125</v>
      </c>
      <c r="P32" s="16">
        <v>32</v>
      </c>
      <c r="Q32" s="16">
        <v>120</v>
      </c>
      <c r="R32" s="15">
        <v>2.1</v>
      </c>
      <c r="S32" s="119" t="s">
        <v>66</v>
      </c>
      <c r="T32" s="120"/>
      <c r="U32" s="122">
        <v>8</v>
      </c>
      <c r="V32" s="123"/>
      <c r="W32" s="124"/>
      <c r="X32" s="26"/>
    </row>
    <row r="33" spans="1:24" x14ac:dyDescent="0.25">
      <c r="A33" s="5"/>
      <c r="B33" s="135" t="s">
        <v>60</v>
      </c>
      <c r="C33" s="136"/>
      <c r="D33" s="116" t="s">
        <v>11</v>
      </c>
      <c r="E33" s="117"/>
      <c r="F33" s="56" t="s">
        <v>64</v>
      </c>
      <c r="G33" s="118"/>
      <c r="H33" s="119">
        <v>510</v>
      </c>
      <c r="I33" s="120"/>
      <c r="J33" s="119">
        <v>300</v>
      </c>
      <c r="K33" s="120"/>
      <c r="L33" s="121" t="s">
        <v>53</v>
      </c>
      <c r="M33" s="121"/>
      <c r="N33" s="16">
        <v>450</v>
      </c>
      <c r="O33" s="16">
        <v>125</v>
      </c>
      <c r="P33" s="16">
        <v>32</v>
      </c>
      <c r="Q33" s="16">
        <v>160</v>
      </c>
      <c r="R33" s="15">
        <v>3.2</v>
      </c>
      <c r="S33" s="119" t="s">
        <v>66</v>
      </c>
      <c r="T33" s="120"/>
      <c r="U33" s="122">
        <v>8</v>
      </c>
      <c r="V33" s="123"/>
      <c r="W33" s="124"/>
      <c r="X33" s="26"/>
    </row>
    <row r="34" spans="1:24" x14ac:dyDescent="0.25">
      <c r="A34" s="5"/>
      <c r="B34" s="135" t="s">
        <v>61</v>
      </c>
      <c r="C34" s="136"/>
      <c r="D34" s="116" t="s">
        <v>12</v>
      </c>
      <c r="E34" s="117"/>
      <c r="F34" s="56" t="s">
        <v>64</v>
      </c>
      <c r="G34" s="118"/>
      <c r="H34" s="119">
        <v>888</v>
      </c>
      <c r="I34" s="120"/>
      <c r="J34" s="119">
        <v>522</v>
      </c>
      <c r="K34" s="120"/>
      <c r="L34" s="121" t="s">
        <v>53</v>
      </c>
      <c r="M34" s="121"/>
      <c r="N34" s="16">
        <v>605</v>
      </c>
      <c r="O34" s="16">
        <v>160</v>
      </c>
      <c r="P34" s="16">
        <v>43</v>
      </c>
      <c r="Q34" s="16">
        <v>180</v>
      </c>
      <c r="R34" s="15">
        <v>5.0999999999999996</v>
      </c>
      <c r="S34" s="119" t="s">
        <v>66</v>
      </c>
      <c r="T34" s="120"/>
      <c r="U34" s="122">
        <v>8</v>
      </c>
      <c r="V34" s="123"/>
      <c r="W34" s="124"/>
      <c r="X34" s="5"/>
    </row>
    <row r="35" spans="1:24" x14ac:dyDescent="0.25">
      <c r="A35" s="5"/>
      <c r="B35" s="135" t="s">
        <v>62</v>
      </c>
      <c r="C35" s="136"/>
      <c r="D35" s="139" t="s">
        <v>13</v>
      </c>
      <c r="E35" s="139"/>
      <c r="F35" s="56" t="s">
        <v>64</v>
      </c>
      <c r="G35" s="118"/>
      <c r="H35" s="121">
        <v>1440</v>
      </c>
      <c r="I35" s="121"/>
      <c r="J35" s="121">
        <v>847</v>
      </c>
      <c r="K35" s="121"/>
      <c r="L35" s="121" t="s">
        <v>53</v>
      </c>
      <c r="M35" s="121"/>
      <c r="N35" s="16">
        <v>685</v>
      </c>
      <c r="O35" s="16">
        <v>160</v>
      </c>
      <c r="P35" s="16">
        <v>43</v>
      </c>
      <c r="Q35" s="16">
        <v>200</v>
      </c>
      <c r="R35" s="15">
        <v>6.3</v>
      </c>
      <c r="S35" s="121" t="s">
        <v>66</v>
      </c>
      <c r="T35" s="121"/>
      <c r="U35" s="122">
        <v>8</v>
      </c>
      <c r="V35" s="123"/>
      <c r="W35" s="124"/>
      <c r="X35" s="5"/>
    </row>
    <row r="36" spans="1:24" ht="15.75" thickBot="1" x14ac:dyDescent="0.3">
      <c r="A36" s="5"/>
      <c r="B36" s="148" t="s">
        <v>63</v>
      </c>
      <c r="C36" s="149"/>
      <c r="D36" s="150" t="s">
        <v>14</v>
      </c>
      <c r="E36" s="150"/>
      <c r="F36" s="151" t="s">
        <v>64</v>
      </c>
      <c r="G36" s="151"/>
      <c r="H36" s="151">
        <v>2760</v>
      </c>
      <c r="I36" s="151"/>
      <c r="J36" s="151">
        <v>1624</v>
      </c>
      <c r="K36" s="151"/>
      <c r="L36" s="151" t="s">
        <v>54</v>
      </c>
      <c r="M36" s="151"/>
      <c r="N36" s="19">
        <v>800</v>
      </c>
      <c r="O36" s="19">
        <v>240</v>
      </c>
      <c r="P36" s="19">
        <v>60</v>
      </c>
      <c r="Q36" s="19">
        <v>300</v>
      </c>
      <c r="R36" s="18">
        <v>12.9</v>
      </c>
      <c r="S36" s="129" t="s">
        <v>66</v>
      </c>
      <c r="T36" s="130"/>
      <c r="U36" s="132">
        <v>8</v>
      </c>
      <c r="V36" s="133"/>
      <c r="W36" s="134"/>
      <c r="X36" s="5"/>
    </row>
    <row r="37" spans="1:24" ht="15.75" thickBot="1" x14ac:dyDescent="0.3">
      <c r="A37" s="5"/>
      <c r="B37" s="27"/>
      <c r="C37" s="27"/>
      <c r="D37" s="28"/>
      <c r="E37" s="28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9"/>
      <c r="V37" s="29"/>
      <c r="W37" s="29"/>
      <c r="X37" s="5"/>
    </row>
    <row r="38" spans="1:24" ht="15.75" thickBot="1" x14ac:dyDescent="0.3">
      <c r="A38" s="5"/>
      <c r="B38" s="142" t="s">
        <v>17</v>
      </c>
      <c r="C38" s="143"/>
      <c r="D38" s="144" t="e">
        <f>G3/D14</f>
        <v>#DIV/0!</v>
      </c>
      <c r="E38" s="145"/>
      <c r="F38" s="30"/>
      <c r="G38" s="31"/>
      <c r="H38" s="31"/>
      <c r="I38" s="32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.75" thickBot="1" x14ac:dyDescent="0.3">
      <c r="B39" s="1"/>
      <c r="C39" s="33"/>
      <c r="D39" s="1"/>
      <c r="E39" s="1"/>
      <c r="G39" s="34"/>
      <c r="H39" s="34"/>
      <c r="I39" s="34"/>
    </row>
    <row r="40" spans="1:24" ht="19.5" thickBot="1" x14ac:dyDescent="0.3">
      <c r="B40" s="65" t="s">
        <v>19</v>
      </c>
      <c r="C40" s="66"/>
      <c r="D40" s="66"/>
      <c r="E40" s="66"/>
      <c r="F40" s="66"/>
      <c r="G40" s="66"/>
      <c r="H40" s="67"/>
    </row>
    <row r="41" spans="1:24" ht="15.75" thickBot="1" x14ac:dyDescent="0.3">
      <c r="B41" s="82" t="s">
        <v>20</v>
      </c>
      <c r="C41" s="83"/>
      <c r="D41" s="95" t="s">
        <v>44</v>
      </c>
      <c r="E41" s="95"/>
      <c r="F41" s="95"/>
      <c r="G41" s="93"/>
      <c r="H41" s="14" t="s">
        <v>50</v>
      </c>
    </row>
    <row r="42" spans="1:24" ht="15.75" thickBot="1" x14ac:dyDescent="0.3">
      <c r="B42" s="146"/>
      <c r="C42" s="147"/>
      <c r="D42" s="26" t="s">
        <v>45</v>
      </c>
      <c r="E42" s="10" t="s">
        <v>46</v>
      </c>
      <c r="F42" s="10" t="s">
        <v>47</v>
      </c>
      <c r="G42" s="26" t="s">
        <v>48</v>
      </c>
      <c r="H42" s="11" t="s">
        <v>49</v>
      </c>
    </row>
    <row r="43" spans="1:24" ht="15.75" thickBot="1" x14ac:dyDescent="0.3">
      <c r="B43" s="140" t="e">
        <f>IF(AND(G4&lt;=16,D38&lt;=H20),B20,IF(AND(G4&lt;=16,D38&lt;=H21),B21,IF(AND(G4&lt;=16,D38&lt;=H22),B22,IF(AND(G4&lt;=16,D38&lt;=H23),B23,IF(AND(G4&lt;=16,D38&lt;=H24),B24,IF(AND(G4&lt;=16,D38&lt;=H25),B25,IF(AND(G4&lt;=16,D38&lt;=H26),B26,IF(AND(G4&lt;=16,D38&lt;=H27),B27,IF(AND(G4&gt;16,D38&lt;=H28),B28,IF(AND(G4&gt;16,D38&lt;=H29),B29,IF(AND(G4&gt;16,D38&lt;=H30),B30,IF(AND(G4&gt;16,D38&lt;=H31),B31,IF(AND(G4&gt;16,D38&lt;=H32),B32,IF(AND(G4&gt;16,D38&lt;=H33),B33,IF(AND(G4&gt;16,D38&lt;=H34),B34,IF(AND(G4&gt;16,D38&lt;=H35),B35,IF(AND(G4&gt;16,D38&lt;=H36),B36)))))))))))))))))</f>
        <v>#DIV/0!</v>
      </c>
      <c r="C43" s="141"/>
      <c r="D43" s="12" t="e">
        <f>IF(B43=B20,N20,IF(B43=B21,N21,IF(B43=B22,N22,IF(B43=B23,N23,IF(B43=B24,N24,IF(B43=B25,N25,IF(B43=B26,N26,IF(B43=B27,N27,IF(B43=B28,N28,IF(B43=B29,N29,IF(B43=B30,N30,IF(B43=B31,N31,IF(B43=B32,N32,IF(B43=B33,N33,IF(B43=B34,N34,IF(B43=B35,N35,IF(B43=B36,N36)))))))))))))))))</f>
        <v>#DIV/0!</v>
      </c>
      <c r="E43" s="13" t="e">
        <f>IF(B43=B20,O20,IF(B43=B21,O21,IF(B43=B22,O22,IF(B43=B23,O23,IF(B43=B24,O24,IF(B43=B25,O25,IF(B43=B26,O26,IF(B43=B27,O27,IF(B43=B28,O28,IF(B43=B29,O29,IF(B43=B30,O30,IF(B43=B31,O31,IF(B43=B32,O32,IF(B43=B33,O33,IF(B43=B34,O34,IF(B43=B35,N35,IF(B43=B36,O36)))))))))))))))))</f>
        <v>#DIV/0!</v>
      </c>
      <c r="F43" s="12" t="e">
        <f>IF(B43=B20,P20,IF(B43=B21,P21,IF(B43=B22,P22,IF(B43=B23,P23,IF(B43=B24,P24,IF(B43=B25,P25,IF(B43=B26,P26,IF(B43=B27,P27,IF(B43=B28,P28,IF(B43=B29,P29,IF(B43=B30,P30,IF(B43=B31,P31,IF(B43=B32,P32,IF(B43=B33,P33,IF(B43=B34,P34,IF(B43=B35,P35,IF(B43=B36,P36)))))))))))))))))</f>
        <v>#DIV/0!</v>
      </c>
      <c r="G43" s="13" t="e">
        <f>IF(B43=B20,Q20,IF(B43=B21,Q21,IF(B43=B22,Q22,IF(B43=B23,Q23,IF(B43=B24,Q24,IF(B43=B25,Q25,IF(B43=B26,Q26,IF(B43=B27,Q27,IF(B43=B28,Q28,IF(B43=B29,Q29,IF(B43=B30,Q30,IF(B43=B31,Q31,IF(B43=B32,Q32,IF(B43=B33,Q33,IF(B43=B34,Q34,IF(B43=B35,Q35,IF(B43=B36,Q36)))))))))))))))))</f>
        <v>#DIV/0!</v>
      </c>
      <c r="H43" s="12" t="e">
        <f>IF(B43=B20,R20,IF(B43=B21,R21,IF(B43=B22,R22,IF(B43=B23,R23,IF(B43=B24,R24,IF(B43=B25,R25,IF(B43=B26,R26,IF(B43=B27,R27,IF(B43=B28,R28,IF(B43=B29,R29,IF(B43=B30,R30,IF(B43=B31,R31,IF(B43=B32,R32,IF(B43=B33,R33,IF(B43=B34,R34,IF(B43=B35,R35,IF(B43=B36,R36)))))))))))))))))</f>
        <v>#DIV/0!</v>
      </c>
      <c r="I43" s="1"/>
    </row>
  </sheetData>
  <mergeCells count="178">
    <mergeCell ref="B43:C43"/>
    <mergeCell ref="S36:T36"/>
    <mergeCell ref="U36:W36"/>
    <mergeCell ref="B38:C38"/>
    <mergeCell ref="D38:E38"/>
    <mergeCell ref="B40:H40"/>
    <mergeCell ref="B41:C42"/>
    <mergeCell ref="D41:G41"/>
    <mergeCell ref="B36:C36"/>
    <mergeCell ref="D36:E36"/>
    <mergeCell ref="F36:G36"/>
    <mergeCell ref="H36:I36"/>
    <mergeCell ref="J36:K36"/>
    <mergeCell ref="L36:M36"/>
    <mergeCell ref="S34:T34"/>
    <mergeCell ref="U34:W34"/>
    <mergeCell ref="B35:C35"/>
    <mergeCell ref="D35:E35"/>
    <mergeCell ref="F35:G35"/>
    <mergeCell ref="H35:I35"/>
    <mergeCell ref="J35:K35"/>
    <mergeCell ref="L35:M35"/>
    <mergeCell ref="S35:T35"/>
    <mergeCell ref="U35:W35"/>
    <mergeCell ref="B34:C34"/>
    <mergeCell ref="D34:E34"/>
    <mergeCell ref="F34:G34"/>
    <mergeCell ref="H34:I34"/>
    <mergeCell ref="J34:K34"/>
    <mergeCell ref="L34:M34"/>
    <mergeCell ref="S32:T32"/>
    <mergeCell ref="U32:W32"/>
    <mergeCell ref="B33:C33"/>
    <mergeCell ref="D33:E33"/>
    <mergeCell ref="F33:G33"/>
    <mergeCell ref="H33:I33"/>
    <mergeCell ref="J33:K33"/>
    <mergeCell ref="L33:M33"/>
    <mergeCell ref="S33:T33"/>
    <mergeCell ref="U33:W33"/>
    <mergeCell ref="B32:C32"/>
    <mergeCell ref="D32:E32"/>
    <mergeCell ref="F32:G32"/>
    <mergeCell ref="H32:I32"/>
    <mergeCell ref="J32:K32"/>
    <mergeCell ref="L32:M32"/>
    <mergeCell ref="S30:T30"/>
    <mergeCell ref="U30:W30"/>
    <mergeCell ref="B31:C31"/>
    <mergeCell ref="D31:E31"/>
    <mergeCell ref="F31:G31"/>
    <mergeCell ref="H31:I31"/>
    <mergeCell ref="J31:K31"/>
    <mergeCell ref="L31:M31"/>
    <mergeCell ref="S31:T31"/>
    <mergeCell ref="U31:W31"/>
    <mergeCell ref="B30:C30"/>
    <mergeCell ref="D30:E30"/>
    <mergeCell ref="F30:G30"/>
    <mergeCell ref="H30:I30"/>
    <mergeCell ref="J30:K30"/>
    <mergeCell ref="L30:M30"/>
    <mergeCell ref="S28:T28"/>
    <mergeCell ref="U28:W28"/>
    <mergeCell ref="B29:C29"/>
    <mergeCell ref="D29:E29"/>
    <mergeCell ref="F29:G29"/>
    <mergeCell ref="H29:I29"/>
    <mergeCell ref="J29:K29"/>
    <mergeCell ref="L29:M29"/>
    <mergeCell ref="S29:T29"/>
    <mergeCell ref="U29:W29"/>
    <mergeCell ref="B28:C28"/>
    <mergeCell ref="D28:E28"/>
    <mergeCell ref="F28:G28"/>
    <mergeCell ref="H28:I28"/>
    <mergeCell ref="J28:K28"/>
    <mergeCell ref="L28:M28"/>
    <mergeCell ref="S26:T26"/>
    <mergeCell ref="U26:W26"/>
    <mergeCell ref="B27:C27"/>
    <mergeCell ref="D27:E27"/>
    <mergeCell ref="F27:G27"/>
    <mergeCell ref="H27:I27"/>
    <mergeCell ref="J27:K27"/>
    <mergeCell ref="L27:M27"/>
    <mergeCell ref="S27:T27"/>
    <mergeCell ref="U27:W27"/>
    <mergeCell ref="B26:C26"/>
    <mergeCell ref="D26:E26"/>
    <mergeCell ref="F26:G26"/>
    <mergeCell ref="H26:I26"/>
    <mergeCell ref="J26:K26"/>
    <mergeCell ref="L26:M26"/>
    <mergeCell ref="S24:T24"/>
    <mergeCell ref="U24:W24"/>
    <mergeCell ref="B25:C25"/>
    <mergeCell ref="D25:E25"/>
    <mergeCell ref="F25:G25"/>
    <mergeCell ref="H25:I25"/>
    <mergeCell ref="J25:K25"/>
    <mergeCell ref="L25:M25"/>
    <mergeCell ref="S25:T25"/>
    <mergeCell ref="U25:W25"/>
    <mergeCell ref="B24:C24"/>
    <mergeCell ref="D24:E24"/>
    <mergeCell ref="F24:G24"/>
    <mergeCell ref="H24:I24"/>
    <mergeCell ref="J24:K24"/>
    <mergeCell ref="L24:M24"/>
    <mergeCell ref="S22:T22"/>
    <mergeCell ref="U22:W22"/>
    <mergeCell ref="B23:C23"/>
    <mergeCell ref="D23:E23"/>
    <mergeCell ref="F23:G23"/>
    <mergeCell ref="H23:I23"/>
    <mergeCell ref="J23:K23"/>
    <mergeCell ref="L23:M23"/>
    <mergeCell ref="S23:T23"/>
    <mergeCell ref="U23:W23"/>
    <mergeCell ref="B22:C22"/>
    <mergeCell ref="D22:E22"/>
    <mergeCell ref="F22:G22"/>
    <mergeCell ref="H22:I22"/>
    <mergeCell ref="J22:K22"/>
    <mergeCell ref="L22:M22"/>
    <mergeCell ref="B20:C20"/>
    <mergeCell ref="D20:E20"/>
    <mergeCell ref="F20:G20"/>
    <mergeCell ref="H20:I20"/>
    <mergeCell ref="J20:K20"/>
    <mergeCell ref="L20:M20"/>
    <mergeCell ref="S20:T20"/>
    <mergeCell ref="U20:W20"/>
    <mergeCell ref="B21:C21"/>
    <mergeCell ref="D21:E21"/>
    <mergeCell ref="F21:G21"/>
    <mergeCell ref="H21:I21"/>
    <mergeCell ref="J21:K21"/>
    <mergeCell ref="L21:M21"/>
    <mergeCell ref="S21:T21"/>
    <mergeCell ref="U21:W21"/>
    <mergeCell ref="B17:W17"/>
    <mergeCell ref="B18:C19"/>
    <mergeCell ref="D18:E18"/>
    <mergeCell ref="F18:G18"/>
    <mergeCell ref="H18:K18"/>
    <mergeCell ref="L18:M18"/>
    <mergeCell ref="N18:Q18"/>
    <mergeCell ref="S18:T19"/>
    <mergeCell ref="U18:W19"/>
    <mergeCell ref="D19:E19"/>
    <mergeCell ref="F19:G19"/>
    <mergeCell ref="H19:I19"/>
    <mergeCell ref="J19:K19"/>
    <mergeCell ref="L19:M19"/>
    <mergeCell ref="B13:C13"/>
    <mergeCell ref="D13:E13"/>
    <mergeCell ref="B14:C14"/>
    <mergeCell ref="D14:E14"/>
    <mergeCell ref="B15:C15"/>
    <mergeCell ref="D15:E15"/>
    <mergeCell ref="B6:W6"/>
    <mergeCell ref="B7:D7"/>
    <mergeCell ref="B8:D8"/>
    <mergeCell ref="B9:D9"/>
    <mergeCell ref="B11:E11"/>
    <mergeCell ref="B12:C12"/>
    <mergeCell ref="D12:E12"/>
    <mergeCell ref="A1:X1"/>
    <mergeCell ref="D3:F3"/>
    <mergeCell ref="I3:J3"/>
    <mergeCell ref="K3:U3"/>
    <mergeCell ref="D4:F4"/>
    <mergeCell ref="I4:J4"/>
    <mergeCell ref="K4:U4"/>
    <mergeCell ref="G3:H3"/>
    <mergeCell ref="G4:H4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4500"/>
  </sheetPr>
  <dimension ref="A10"/>
  <sheetViews>
    <sheetView tabSelected="1" workbookViewId="0"/>
  </sheetViews>
  <sheetFormatPr defaultRowHeight="15" x14ac:dyDescent="0.25"/>
  <sheetData>
    <row r="10" spans="1:1" ht="24.95" customHeight="1" x14ac:dyDescent="0.3">
      <c r="A10" s="25" t="s">
        <v>70</v>
      </c>
    </row>
  </sheetData>
  <sheetProtection algorithmName="SHA-512" hashValue="ow4C9oWDIf9RLOEJNoBwlsLzTu6f6L98I1KyOh1xS9r6hhAzo2NT/TwKWBEY8qYIMuvLUk2K2BOGfWoE+FOCrw==" saltValue="kbvZvWJtelS6Su7rlbkrmw==" spinCount="100000" sheet="1" objects="1" scenarios="1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SalarKia Soroush</dc:creator>
  <cp:lastModifiedBy>Adminsys</cp:lastModifiedBy>
  <dcterms:created xsi:type="dcterms:W3CDTF">2019-11-26T12:49:34Z</dcterms:created>
  <dcterms:modified xsi:type="dcterms:W3CDTF">2026-08-26T14:54:41Z</dcterms:modified>
</cp:coreProperties>
</file>