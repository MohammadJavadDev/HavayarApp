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worksheets/sheet5.xml" ContentType="application/vnd.openxmlformats-officedocument.spreadsheetml.worksheet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929"/>
  <workbookPr codeName="ThisWorkbook" defaultThemeVersion="166925"/>
  <bookViews>
    <workbookView xWindow="28680" yWindow="-120" windowWidth="29040" windowHeight="15840" tabRatio="821" activeTab="4"/>
  </bookViews>
  <sheets>
    <sheet name="Calculation for sizing HDT " sheetId="2" r:id="rId1"/>
    <sheet name="Vessel Weights" sheetId="5" r:id="rId2" state="hidden"/>
    <sheet name="Cover" sheetId="3" r:id="rId3"/>
    <sheet name="Dryer Data Sheet" sheetId="4" r:id="rId4"/>
    <sheet name="Evaluation Warning" sheetId="6" r:id="rId8"/>
  </sheets>
  <definedNames>
    <definedName name="_xlnm._FilterDatabase" comment="" localSheetId="0" hidden="1">'Calculation for sizing HDT '!$I$58:$K$85</definedName>
    <definedName name="_xlnm.Print_Area" comment="" localSheetId="0">'Calculation for sizing HDT '!$A$1:$R$97</definedName>
    <definedName name="_xlnm.Print_Area" comment="" localSheetId="3">'Dryer Data Sheet'!$A$1:$AJ$56</definedName>
    <definedName name="_xlnm.Print_Area" comment="" localSheetId="1">'Vessel Weights'!$A$1:$U$77</definedName>
    <definedName name="_xlnm.Print_Titles" comment="" localSheetId="3">'Dryer Data Sheet'!$1:$3</definedName>
  </definedNames>
  <calcPr fullPrecision="1"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<sst xmlns="http://schemas.openxmlformats.org/spreadsheetml/2006/main" uniqueCount="462" count="942">
  <si>
    <t>Type</t>
  </si>
  <si>
    <t>MATERIAL</t>
  </si>
  <si>
    <t xml:space="preserve">ITEM </t>
  </si>
  <si>
    <t>3"</t>
  </si>
  <si>
    <t>5"</t>
  </si>
  <si>
    <t>PIPE (SCH.)</t>
  </si>
  <si>
    <t>PLATE (THK.)</t>
  </si>
  <si>
    <t>-</t>
  </si>
  <si>
    <t>HDT's Dimension for pressures (8,10,13) barg.</t>
  </si>
  <si>
    <t>4"</t>
  </si>
  <si>
    <t>LENGTH
(mm)</t>
  </si>
  <si>
    <t>6"</t>
  </si>
  <si>
    <t>3/4"</t>
  </si>
  <si>
    <t>1"</t>
  </si>
  <si>
    <t>1/2"</t>
  </si>
  <si>
    <t>SKID 
Dimensions mm</t>
  </si>
  <si>
    <t>(L x W x H)</t>
  </si>
  <si>
    <t>1720 X 1000 X 2600 (Approx.)</t>
  </si>
  <si>
    <t>Changeover Valves</t>
  </si>
  <si>
    <t>Regeneration Valve</t>
  </si>
  <si>
    <t>Discharge Valve</t>
  </si>
  <si>
    <t>Nozzles
Inlet &amp; Outlet</t>
  </si>
  <si>
    <t>Material</t>
  </si>
  <si>
    <t>Rating</t>
  </si>
  <si>
    <t>S.O. / R.F.</t>
  </si>
  <si>
    <t xml:space="preserve"> 150#</t>
  </si>
  <si>
    <t xml:space="preserve">Size </t>
  </si>
  <si>
    <t>Butterfly Valve 3"</t>
  </si>
  <si>
    <t>Butterfly Valve 21/2"</t>
  </si>
  <si>
    <t>Check valve 3"</t>
  </si>
  <si>
    <t>2050 x1060 x 2800 (Approx.)</t>
  </si>
  <si>
    <t>Butterfly valve With Actuator 4"</t>
  </si>
  <si>
    <t xml:space="preserve"> Wafer Disc Check valve 4"</t>
  </si>
  <si>
    <t xml:space="preserve">Molecular Sieve Weight </t>
  </si>
  <si>
    <t>Kg</t>
  </si>
  <si>
    <t>580</t>
  </si>
  <si>
    <t>380</t>
  </si>
  <si>
    <t>45</t>
  </si>
  <si>
    <t>1140X 800 X 2200 (Approx.)</t>
  </si>
  <si>
    <t>Ball Valve With Actuator 1"</t>
  </si>
  <si>
    <t xml:space="preserve"> Wafer Disc Check valve 1"</t>
  </si>
  <si>
    <t>320</t>
  </si>
  <si>
    <t xml:space="preserve"> Wafer Disc Check valve 3"</t>
  </si>
  <si>
    <t>Butterfly valve With Actuator2.1/2"</t>
  </si>
  <si>
    <t>Butterfly valve With Actuator 3"</t>
  </si>
  <si>
    <t>40</t>
  </si>
  <si>
    <t>Ball valve With Actuator 1"</t>
  </si>
  <si>
    <t>50</t>
  </si>
  <si>
    <t>690</t>
  </si>
  <si>
    <t>2120 x 1100 x 2800 (Approx.)</t>
  </si>
  <si>
    <t>810</t>
  </si>
  <si>
    <t>2300 x 1200 x 2800 (Approx.)</t>
  </si>
  <si>
    <t>Butterfly valve With Actuator 5"</t>
  </si>
  <si>
    <t>Wafer Disc Check valve 5"</t>
  </si>
  <si>
    <t>Ball Valve With Actuator 1 1/2"</t>
  </si>
  <si>
    <t xml:space="preserve"> Wafer Disc Check valve 1 1/2"</t>
  </si>
  <si>
    <t>11/2"</t>
  </si>
  <si>
    <t xml:space="preserve"> Wafer Disc Check valve 5"</t>
  </si>
  <si>
    <t>21/2"</t>
  </si>
  <si>
    <t>250</t>
  </si>
  <si>
    <t>1400 x 800 x 2900 (Approx.)</t>
  </si>
  <si>
    <t>Butterfly valve With Actuator 2"</t>
  </si>
  <si>
    <t xml:space="preserve"> Wafer Disc Check valve 2.1/2"</t>
  </si>
  <si>
    <t>Ball Valve With Actuator 3/4"</t>
  </si>
  <si>
    <t>Wafer Disc Check valve 3/4"</t>
  </si>
  <si>
    <t>2"</t>
  </si>
  <si>
    <t>140</t>
  </si>
  <si>
    <t>1300 x 700 x 2410 (Approx.)</t>
  </si>
  <si>
    <t>Butterfly Valve With Actuator 2"</t>
  </si>
  <si>
    <t>Wafer Disc Check valve 2"</t>
  </si>
  <si>
    <t>Check Valve 6"</t>
  </si>
  <si>
    <t>1130</t>
  </si>
  <si>
    <t xml:space="preserve">Ball valve with Actuator 1" </t>
  </si>
  <si>
    <t>Check Valve 1/2"</t>
  </si>
  <si>
    <t>545 x 400 x 1280 (Approx.)</t>
  </si>
  <si>
    <t>545 x 400 x 1800 (Approx.)</t>
  </si>
  <si>
    <t>Ball valve 1/2"</t>
  </si>
  <si>
    <t>1130 x 850 x 2400 (Approx.)</t>
  </si>
  <si>
    <t>1325 x 700 x 2300 (Approx.)</t>
  </si>
  <si>
    <t>85</t>
  </si>
  <si>
    <t>1425 x 850 x 2600 (Approx.)</t>
  </si>
  <si>
    <t>195</t>
  </si>
  <si>
    <t>520</t>
  </si>
  <si>
    <t>1800 x 1000 x 2900 (Approx.)</t>
  </si>
  <si>
    <t>2800 x 2800 x 3500 (Approx.)</t>
  </si>
  <si>
    <t>3000 X 2500 X 3000 (Approx.)</t>
  </si>
  <si>
    <t>Butterfly valve With Actuator 8"</t>
  </si>
  <si>
    <t>Wafer Disk Check valve 3"</t>
  </si>
  <si>
    <t>Wafer Disk Check valve 8"</t>
  </si>
  <si>
    <t>Correction Factor</t>
  </si>
  <si>
    <t>Pressure</t>
  </si>
  <si>
    <t>Interpolation</t>
  </si>
  <si>
    <t>Corr. Factor</t>
  </si>
  <si>
    <t>Inlet Pressure (Barg)</t>
  </si>
  <si>
    <t>&lt;25</t>
  </si>
  <si>
    <t>Inlet Air Temperature (°C)</t>
  </si>
  <si>
    <t>m3/hr</t>
  </si>
  <si>
    <t>Actual outlet flow</t>
  </si>
  <si>
    <t>Minimum inlet pressure</t>
  </si>
  <si>
    <t>Inlet air temperature</t>
  </si>
  <si>
    <t>°C</t>
  </si>
  <si>
    <t>Temperature</t>
  </si>
  <si>
    <t>correction factor (F1)</t>
  </si>
  <si>
    <t>correction factor (F2)</t>
  </si>
  <si>
    <t>Model</t>
  </si>
  <si>
    <t>NI/min</t>
  </si>
  <si>
    <t>Nm3/h</t>
  </si>
  <si>
    <t>scfm</t>
  </si>
  <si>
    <t>Inlet Air Flow-Rate</t>
  </si>
  <si>
    <t>HDT-3</t>
  </si>
  <si>
    <t>HDT-5</t>
  </si>
  <si>
    <t>HDT-8</t>
  </si>
  <si>
    <t>HDT-12</t>
  </si>
  <si>
    <t>HDT-18</t>
  </si>
  <si>
    <t>HDT-25</t>
  </si>
  <si>
    <t>HDT-30</t>
  </si>
  <si>
    <t>HDT-40</t>
  </si>
  <si>
    <t>HDT-50</t>
  </si>
  <si>
    <t>HDT-60</t>
  </si>
  <si>
    <t>HDT-75</t>
  </si>
  <si>
    <t>HDT-90</t>
  </si>
  <si>
    <t>HDT-130</t>
  </si>
  <si>
    <t>HDT-160</t>
  </si>
  <si>
    <t>HDT-200</t>
  </si>
  <si>
    <t>HDT-250</t>
  </si>
  <si>
    <t>HDT-300</t>
  </si>
  <si>
    <t>HDT-350</t>
  </si>
  <si>
    <t>HDT-400</t>
  </si>
  <si>
    <t>HDT-450</t>
  </si>
  <si>
    <t>HDT-620</t>
  </si>
  <si>
    <t>HDT-800</t>
  </si>
  <si>
    <t>HDT-1000</t>
  </si>
  <si>
    <t>HDT-1200</t>
  </si>
  <si>
    <t>HDT-1500</t>
  </si>
  <si>
    <t xml:space="preserve"> Dryer Type</t>
  </si>
  <si>
    <t>Nominal Flow  "Q"</t>
  </si>
  <si>
    <t xml:space="preserve">HDT-90 </t>
  </si>
  <si>
    <t>SALMAN PLATFORM</t>
  </si>
  <si>
    <t xml:space="preserve">Data Sheet For Air Dryer </t>
  </si>
  <si>
    <t>No</t>
  </si>
  <si>
    <t>Date</t>
  </si>
  <si>
    <t>Revision</t>
  </si>
  <si>
    <t>Page 1 of 2</t>
  </si>
  <si>
    <t>Data Sheet For Air Dryer</t>
  </si>
  <si>
    <t>Issued For Information</t>
  </si>
  <si>
    <t>S.S.K.</t>
  </si>
  <si>
    <t>F.Kh</t>
  </si>
  <si>
    <t>H.M</t>
  </si>
  <si>
    <t>Rev</t>
  </si>
  <si>
    <t>Status</t>
  </si>
  <si>
    <t>Prepared</t>
  </si>
  <si>
    <t>Checked</t>
  </si>
  <si>
    <t>Approved</t>
  </si>
  <si>
    <t>DRYER</t>
  </si>
  <si>
    <t xml:space="preserve">Quantity  </t>
  </si>
  <si>
    <t>TYPE</t>
  </si>
  <si>
    <t>¢</t>
  </si>
  <si>
    <t>Heatless</t>
  </si>
  <si>
    <t>£</t>
  </si>
  <si>
    <t>Heat Regenerated</t>
  </si>
  <si>
    <t>Manufacturer</t>
  </si>
  <si>
    <t>HAVAYAR</t>
  </si>
  <si>
    <t>Area Classification</t>
  </si>
  <si>
    <t>Safe Area</t>
  </si>
  <si>
    <t>Hazardous Area</t>
  </si>
  <si>
    <t xml:space="preserve">Model                      </t>
  </si>
  <si>
    <t xml:space="preserve">Change Over  </t>
  </si>
  <si>
    <t>Manual</t>
  </si>
  <si>
    <t>Automatic</t>
  </si>
  <si>
    <t>Cycle Time</t>
  </si>
  <si>
    <t>Location</t>
  </si>
  <si>
    <t>Indoor</t>
  </si>
  <si>
    <t>Outdoor, Under shelter</t>
  </si>
  <si>
    <t>OPERATING CONDITIONS</t>
  </si>
  <si>
    <t>MECHANICAL DESIGN DATA</t>
  </si>
  <si>
    <t>Gas To Be Dried</t>
  </si>
  <si>
    <t>AIR</t>
  </si>
  <si>
    <t>Design Code</t>
  </si>
  <si>
    <t>ASME Sec VIII DIV I</t>
  </si>
  <si>
    <r>
      <t>Inlet Flow Rate, Nm</t>
    </r>
    <r>
      <rPr>
        <vertAlign val="superscript"/>
        <sz val="10"/>
        <rFont val="Times New Roman"/>
        <family val="1"/>
        <charset val="0"/>
      </rPr>
      <t>3</t>
    </r>
    <r>
      <rPr>
        <sz val="10"/>
        <rFont val="Times New Roman"/>
        <family val="1"/>
        <charset val="0"/>
      </rPr>
      <t>/hr</t>
    </r>
  </si>
  <si>
    <t>Design Pressure, barg</t>
  </si>
  <si>
    <r>
      <t xml:space="preserve">Inlet Temperature, </t>
    </r>
    <r>
      <rPr>
        <sz val="10"/>
        <rFont val="Symbol"/>
        <family val="1"/>
        <charset val="2"/>
      </rPr>
      <t>°</t>
    </r>
    <r>
      <rPr>
        <sz val="10"/>
        <rFont val="Calibri"/>
        <family val="2"/>
        <charset val="0"/>
        <scheme val="minor"/>
      </rPr>
      <t>C</t>
    </r>
  </si>
  <si>
    <r>
      <t xml:space="preserve">Design Temperature, </t>
    </r>
    <r>
      <rPr>
        <sz val="10"/>
        <color theme="1"/>
        <rFont val="Symbol"/>
        <family val="1"/>
        <charset val="2"/>
      </rPr>
      <t>°</t>
    </r>
    <r>
      <rPr>
        <sz val="10"/>
        <color theme="1"/>
        <rFont val="Times New Roman"/>
        <family val="1"/>
        <charset val="0"/>
      </rPr>
      <t>C</t>
    </r>
  </si>
  <si>
    <t>Max. Inlet Pressure, barg</t>
  </si>
  <si>
    <t>Test pressure, barg</t>
  </si>
  <si>
    <t>Rel. Humidity, %</t>
  </si>
  <si>
    <t>Saturated at inlet press.</t>
  </si>
  <si>
    <r>
      <t xml:space="preserve">Corrosion Allowance, </t>
    </r>
    <r>
      <rPr>
        <sz val="9"/>
        <color theme="1"/>
        <rFont val="Times New Roman"/>
        <family val="1"/>
        <charset val="0"/>
      </rPr>
      <t>mm</t>
    </r>
  </si>
  <si>
    <t>Dew Point, °C</t>
  </si>
  <si>
    <t>Noise Limit, dBA</t>
  </si>
  <si>
    <t>Max. 85</t>
  </si>
  <si>
    <t xml:space="preserve">Allow. Press. Drop, bar </t>
  </si>
  <si>
    <t>Dryer Type</t>
  </si>
  <si>
    <t>Desiccant</t>
  </si>
  <si>
    <t xml:space="preserve">Actual Press. Drop, bar </t>
  </si>
  <si>
    <t>Drying Medium</t>
  </si>
  <si>
    <t>Air</t>
  </si>
  <si>
    <t>Outlet Flow Rate, Nm3/hr</t>
  </si>
  <si>
    <t>Regenerating Medium</t>
  </si>
  <si>
    <t>Duty</t>
  </si>
  <si>
    <t>CONSTRUCTION</t>
  </si>
  <si>
    <t>Tower Qty.</t>
  </si>
  <si>
    <t>Shell Material</t>
  </si>
  <si>
    <t>Tower Design Code</t>
  </si>
  <si>
    <t>ASME Sec VIII DIV 1</t>
  </si>
  <si>
    <t>Head Material</t>
  </si>
  <si>
    <t>Safety valve Qty.</t>
  </si>
  <si>
    <t>1 per Tower</t>
  </si>
  <si>
    <t>Interconnecting Piping Material</t>
  </si>
  <si>
    <t>SA-106 Gr. B</t>
  </si>
  <si>
    <t>Safety Valve Set Press, bar g</t>
  </si>
  <si>
    <t>Base Plate Material</t>
  </si>
  <si>
    <t>C.S.</t>
  </si>
  <si>
    <t>Nozzle Flange / Neck</t>
  </si>
  <si>
    <t>SA-105 / SA-106 Gr.B</t>
  </si>
  <si>
    <t>Adsorbent Type</t>
  </si>
  <si>
    <t>Molecular Sieve</t>
  </si>
  <si>
    <t>Muffler</t>
  </si>
  <si>
    <t>Aluminum</t>
  </si>
  <si>
    <t>Internals</t>
  </si>
  <si>
    <t>S.S.304</t>
  </si>
  <si>
    <t>THICKNESS</t>
  </si>
  <si>
    <t>NOZZLES</t>
  </si>
  <si>
    <t>Shell Thickness(mm)</t>
  </si>
  <si>
    <t>Sch. 20</t>
  </si>
  <si>
    <t>Nozzles</t>
  </si>
  <si>
    <t>Size</t>
  </si>
  <si>
    <t>Inlet</t>
  </si>
  <si>
    <t>Joint efficiency shell / head / Shell to Head</t>
  </si>
  <si>
    <t>1.0 / 1.0 / 0.85</t>
  </si>
  <si>
    <t>Outlet</t>
  </si>
  <si>
    <t>INSTRUMENTATION</t>
  </si>
  <si>
    <t xml:space="preserve">  Control Panel Type</t>
  </si>
  <si>
    <t xml:space="preserve"> DDC15</t>
  </si>
  <si>
    <t>PLC</t>
  </si>
  <si>
    <t xml:space="preserve">  Manual Override</t>
  </si>
  <si>
    <t>Yes</t>
  </si>
  <si>
    <t xml:space="preserve">  Press. Gauges</t>
  </si>
  <si>
    <t xml:space="preserve"> Yes</t>
  </si>
  <si>
    <t xml:space="preserve">  Control Voltage Transformer</t>
  </si>
  <si>
    <t xml:space="preserve">  Temp. Gauges</t>
  </si>
  <si>
    <t xml:space="preserve">  Switch Failure Alarm</t>
  </si>
  <si>
    <t>Yes  (LOCAL)</t>
  </si>
  <si>
    <t xml:space="preserve">  Safety Valve</t>
  </si>
  <si>
    <t xml:space="preserve">  High Humidity Alarm </t>
  </si>
  <si>
    <t xml:space="preserve">  General Alarm</t>
  </si>
  <si>
    <t xml:space="preserve">  Pre-filter DPI</t>
  </si>
  <si>
    <t xml:space="preserve">  Running Status</t>
  </si>
  <si>
    <t xml:space="preserve">  After-filter DPI</t>
  </si>
  <si>
    <t xml:space="preserve">  Remote Start/Stop</t>
  </si>
  <si>
    <t xml:space="preserve">  Dew Point Indicator</t>
  </si>
  <si>
    <t>Yes (On PLC)</t>
  </si>
  <si>
    <t xml:space="preserve">  Dew Point Transmitter </t>
  </si>
  <si>
    <t>MISCELLANEOUS</t>
  </si>
  <si>
    <t>Tower's OD ,mm</t>
  </si>
  <si>
    <t xml:space="preserve">Purge Rate </t>
  </si>
  <si>
    <t>Max 15%  OF inlet Flow</t>
  </si>
  <si>
    <t>Tower's Length, mm</t>
  </si>
  <si>
    <t>Vent Silencer / Type</t>
  </si>
  <si>
    <t>L x W x H, mm</t>
  </si>
  <si>
    <t>Molecular Sieve Weight ,Kg</t>
  </si>
  <si>
    <t>Total Weight, With Molecular Sieve ,Kg</t>
  </si>
  <si>
    <t>Internal Painting</t>
  </si>
  <si>
    <t>External Painting</t>
  </si>
  <si>
    <t>INSPECTION AND TESTING</t>
  </si>
  <si>
    <t>Percent</t>
  </si>
  <si>
    <t>Hydro Test</t>
  </si>
  <si>
    <t>Welding Visual Test</t>
  </si>
  <si>
    <t>Function Test</t>
  </si>
  <si>
    <t>Performance Test</t>
  </si>
  <si>
    <t>Noise Test</t>
  </si>
  <si>
    <t>Painting Test</t>
  </si>
  <si>
    <t>Penetration Test</t>
  </si>
  <si>
    <t>10% weldline
100% T-joint</t>
  </si>
  <si>
    <t>Radiography Test</t>
  </si>
  <si>
    <t>10% weldline &amp;
100% T-joint</t>
  </si>
  <si>
    <t>Shop Inspection</t>
  </si>
  <si>
    <t>Ultrasonic Test</t>
  </si>
  <si>
    <t>NOTES</t>
  </si>
  <si>
    <t>(Note 1)</t>
  </si>
  <si>
    <t>3" - ∅ 88.9</t>
  </si>
  <si>
    <t>4" -  ∅ 114.3</t>
  </si>
  <si>
    <t>5" - ∅ 141.3</t>
  </si>
  <si>
    <t>6" - ∅ 168.3</t>
  </si>
  <si>
    <t>8" - ∅ 219.1</t>
  </si>
  <si>
    <t>10" - ∅ 273.1</t>
  </si>
  <si>
    <t>12" - ∅ 323.9</t>
  </si>
  <si>
    <t>14" - ∅ 355.6</t>
  </si>
  <si>
    <t>18" - ∅ 457</t>
  </si>
  <si>
    <t>20" - ∅ 508</t>
  </si>
  <si>
    <t>24" - ∅ 610</t>
  </si>
  <si>
    <t xml:space="preserve"> Sch. 30</t>
  </si>
  <si>
    <t>Sch. 40</t>
  </si>
  <si>
    <t>VESSEL WEIGHTS</t>
  </si>
  <si>
    <t>Input data</t>
  </si>
  <si>
    <t>Output data</t>
  </si>
  <si>
    <t>CYLINDRICAL SHELL</t>
  </si>
  <si>
    <t>P</t>
  </si>
  <si>
    <t>Design pressure</t>
  </si>
  <si>
    <t>P =</t>
  </si>
  <si>
    <t>psi</t>
  </si>
  <si>
    <t>barg</t>
  </si>
  <si>
    <t>Allowable Stress *</t>
  </si>
  <si>
    <t xml:space="preserve">Density </t>
  </si>
  <si>
    <t>S*</t>
  </si>
  <si>
    <t>allowable stress</t>
  </si>
  <si>
    <t>S =</t>
  </si>
  <si>
    <t>N/mm2</t>
  </si>
  <si>
    <t>SA-516Gr.70</t>
  </si>
  <si>
    <t>S=</t>
  </si>
  <si>
    <r>
      <t>N/mm</t>
    </r>
    <r>
      <rPr>
        <vertAlign val="superscript"/>
        <sz val="12"/>
        <color theme="1"/>
        <rFont val="Calibri"/>
        <family val="2"/>
        <charset val="0"/>
        <scheme val="minor"/>
      </rPr>
      <t>2</t>
    </r>
  </si>
  <si>
    <t>ρ =</t>
  </si>
  <si>
    <r>
      <t>Kg/m</t>
    </r>
    <r>
      <rPr>
        <vertAlign val="superscript"/>
        <sz val="12"/>
        <color theme="1"/>
        <rFont val="Calibri"/>
        <family val="2"/>
        <charset val="0"/>
        <scheme val="minor"/>
      </rPr>
      <t>3</t>
    </r>
  </si>
  <si>
    <t>E</t>
  </si>
  <si>
    <t>Joint efficiency</t>
  </si>
  <si>
    <t>E =</t>
  </si>
  <si>
    <t>—</t>
  </si>
  <si>
    <t>SA-36</t>
  </si>
  <si>
    <t>R</t>
  </si>
  <si>
    <t>Inside raduis</t>
  </si>
  <si>
    <t>R =</t>
  </si>
  <si>
    <t>in</t>
  </si>
  <si>
    <t>mm</t>
  </si>
  <si>
    <t>SA-283C</t>
  </si>
  <si>
    <t>ID</t>
  </si>
  <si>
    <t>Inside dia.</t>
  </si>
  <si>
    <t>ID =</t>
  </si>
  <si>
    <t>SA-240 316L</t>
  </si>
  <si>
    <t>t</t>
  </si>
  <si>
    <t>wall thk.</t>
  </si>
  <si>
    <t>C.A. =</t>
  </si>
  <si>
    <t>SA-240 304L</t>
  </si>
  <si>
    <t>Length</t>
  </si>
  <si>
    <t>L =</t>
  </si>
  <si>
    <t>SA-240 316</t>
  </si>
  <si>
    <t>C.A.</t>
  </si>
  <si>
    <t>Corrosion Allowance</t>
  </si>
  <si>
    <t>t =</t>
  </si>
  <si>
    <t>SA-240 304</t>
  </si>
  <si>
    <t>SA-240 31803</t>
  </si>
  <si>
    <t>Following formula has been used for calculating the Cylindrical weight:</t>
  </si>
  <si>
    <t>Cylindrical weight = π x ID x thk x ρ x L</t>
  </si>
  <si>
    <t>where,</t>
  </si>
  <si>
    <t>S.F. =</t>
  </si>
  <si>
    <t>π = 3.141</t>
  </si>
  <si>
    <t xml:space="preserve"> π =</t>
  </si>
  <si>
    <t>ID = Inside Diameter</t>
  </si>
  <si>
    <t>thk = Thickness of Head</t>
  </si>
  <si>
    <t xml:space="preserve">thk. = </t>
  </si>
  <si>
    <t>ρ = Density of Material </t>
  </si>
  <si>
    <t>Kg/m3</t>
  </si>
  <si>
    <t>L = Shell Length</t>
  </si>
  <si>
    <t>Cylindrical weight=</t>
  </si>
  <si>
    <t>NOTE:</t>
  </si>
  <si>
    <r>
      <t xml:space="preserve">In the </t>
    </r>
    <r>
      <rPr>
        <b/>
        <sz val="11"/>
        <color theme="8" tint="-0.249977111117893"/>
        <rFont val="Eras_itc"/>
        <charset val="0"/>
      </rPr>
      <t>PV Elite</t>
    </r>
    <r>
      <rPr>
        <sz val="11"/>
        <color theme="8" tint="-0.249977111117893"/>
        <rFont val="Eras_itc"/>
        <charset val="0"/>
      </rPr>
      <t xml:space="preserve"> software multiplies the total weight of the vessel by 1.0 plus.</t>
    </r>
  </si>
  <si>
    <t>2:1 ELLIPSOIDAL HEAD</t>
  </si>
  <si>
    <t>D</t>
  </si>
  <si>
    <t>Following formula has been used for calculating the Ellipsoidal head blank weight:</t>
  </si>
  <si>
    <t>Blank Weight = (π * BD² * thk * ρ )/ 4</t>
  </si>
  <si>
    <t>BD = Blank Diameter (Development Diameter)</t>
  </si>
  <si>
    <t>BD =</t>
  </si>
  <si>
    <t>Blank Weight =</t>
  </si>
  <si>
    <t>For plate thickness less than 25 mm / 1.0 inch</t>
  </si>
  <si>
    <r>
      <t/>
    </r>
    <r>
      <rPr>
        <b/>
        <sz val="11"/>
        <color rgb="FF00B050"/>
        <rFont val="Eras_itc"/>
        <charset val="0"/>
      </rPr>
      <t>Blank Diameter</t>
    </r>
    <r>
      <rPr>
        <sz val="11"/>
        <color rgb="FF0000FE"/>
        <rFont val="Eras_itc"/>
        <charset val="0"/>
      </rPr>
      <t xml:space="preserve"> = D + (D/42) + (2*S.F)+ ((2/3) * Kr)</t>
    </r>
  </si>
  <si>
    <t>For plate thickness equal or more than 25 mm / 1.0 inch</t>
  </si>
  <si>
    <r>
      <t/>
    </r>
    <r>
      <rPr>
        <b/>
        <sz val="11"/>
        <color rgb="FF00B050"/>
        <rFont val="Eras_itc"/>
        <charset val="0"/>
      </rPr>
      <t>Blank Diameter</t>
    </r>
    <r>
      <rPr>
        <sz val="11"/>
        <color rgb="FF0000FE"/>
        <rFont val="Eras_itc"/>
        <charset val="0"/>
      </rPr>
      <t xml:space="preserve"> = D + (D/42) + (2*S.F) + ((2/3) * Kr)+ thk</t>
    </r>
  </si>
  <si>
    <t>D = Outside Diameter of Ellipsoidal Head</t>
  </si>
  <si>
    <t>S.F. = Straight Face </t>
  </si>
  <si>
    <t>Kr =</t>
  </si>
  <si>
    <t>Vessel weight + two ellipsoidal heads</t>
  </si>
  <si>
    <t>V.W =</t>
  </si>
  <si>
    <t>kg.</t>
  </si>
  <si>
    <t>OD
(inch) - (mm)</t>
  </si>
  <si>
    <t>OD =</t>
  </si>
  <si>
    <t xml:space="preserve">t = P * R/(SE + 0.4P) </t>
  </si>
  <si>
    <t>WL. To WL.</t>
  </si>
  <si>
    <t xml:space="preserve">Corrosion Allowance C.A. </t>
  </si>
  <si>
    <t>Shell Thickness</t>
  </si>
  <si>
    <t>thk = Thickness of  Shell</t>
  </si>
  <si>
    <t xml:space="preserve">t = P * D/(2SE + 1.8P) </t>
  </si>
  <si>
    <t>Outside dia.</t>
  </si>
  <si>
    <t>Outside raduis</t>
  </si>
  <si>
    <t>Head Thickness</t>
  </si>
  <si>
    <r>
      <t xml:space="preserve">In the </t>
    </r>
    <r>
      <rPr>
        <b/>
        <sz val="11"/>
        <color rgb="FFFF0000"/>
        <rFont val="Eras_itc"/>
        <charset val="0"/>
      </rPr>
      <t>PV Elite</t>
    </r>
    <r>
      <rPr>
        <sz val="11"/>
        <color rgb="FFFF0000"/>
        <rFont val="Eras_itc"/>
        <charset val="0"/>
      </rPr>
      <t xml:space="preserve"> software multiplies the total weight of the vessel by 1.0 plus.</t>
    </r>
  </si>
  <si>
    <t>Head weight=</t>
  </si>
  <si>
    <t>Total Weights in PVElite software + 5% Miscellaneous Weight:</t>
  </si>
  <si>
    <t>Vessel weight=</t>
  </si>
  <si>
    <t xml:space="preserve">Dryer Weight </t>
  </si>
  <si>
    <t>برای هر سه فشار 8 ،10 و 13 بررسی شد و  تمامی موارد مشابه یکدیگر بودند.</t>
  </si>
  <si>
    <t>Approx.</t>
  </si>
  <si>
    <t>5</t>
  </si>
  <si>
    <t xml:space="preserve">Class </t>
  </si>
  <si>
    <t xml:space="preserve"> 3000#</t>
  </si>
  <si>
    <t>Half Coupling</t>
  </si>
  <si>
    <t>9</t>
  </si>
  <si>
    <t>20</t>
  </si>
  <si>
    <t>27</t>
  </si>
  <si>
    <t>1140 x 800 x 2500 (Approx.)</t>
  </si>
  <si>
    <t>1325 x 700 x 2400 (Approx.)</t>
  </si>
  <si>
    <t>79</t>
  </si>
  <si>
    <t>Butterfly Valve  With Actuator 2"</t>
  </si>
  <si>
    <t>1400 x 800 x 2600 (Approx.)</t>
  </si>
  <si>
    <t>Head</t>
  </si>
  <si>
    <t>2500 x 3000 x 4000 (Approx.)</t>
  </si>
  <si>
    <t>Wafer Disc Check Valve 6"</t>
  </si>
  <si>
    <t>1650</t>
  </si>
  <si>
    <t>4 x 1000 (IPE 120) =</t>
  </si>
  <si>
    <t>Head weight</t>
  </si>
  <si>
    <t>Pad for Leg weight</t>
  </si>
  <si>
    <t>4 x 250 x 250=</t>
  </si>
  <si>
    <t>Base plat weight</t>
  </si>
  <si>
    <t>Leg weight</t>
  </si>
  <si>
    <t>Nozzles weight</t>
  </si>
  <si>
    <t>M1+In+Out</t>
  </si>
  <si>
    <t>Other connections weight</t>
  </si>
  <si>
    <t>Piping + fitting + valves</t>
  </si>
  <si>
    <t>2700 x3100 x 4500 (Approx.)</t>
  </si>
  <si>
    <t>Butterfly valve With Actuator 6"</t>
  </si>
  <si>
    <t xml:space="preserve"> Wafer Disc Check valve 6"</t>
  </si>
  <si>
    <t>size</t>
  </si>
  <si>
    <t>weight (kg)</t>
  </si>
  <si>
    <t>Butterfly valve
(Flange Connection)</t>
  </si>
  <si>
    <t>2.1/2"</t>
  </si>
  <si>
    <t>8"</t>
  </si>
  <si>
    <t>1.1/2"</t>
  </si>
  <si>
    <t>Actuator Weight (kg)</t>
  </si>
  <si>
    <t>Ball Valve With Actuator 1/2"</t>
  </si>
  <si>
    <t>Ball Valve With Actuator 11/2"</t>
  </si>
  <si>
    <t>1200</t>
  </si>
  <si>
    <t>2000 x 2500 x 3500 (Approx.)</t>
  </si>
  <si>
    <t>4 x 300 x 300=</t>
  </si>
  <si>
    <t>Required presserized Dew Point</t>
  </si>
  <si>
    <t>10 min.</t>
  </si>
  <si>
    <t>7 min.</t>
  </si>
  <si>
    <t>5 Min.</t>
  </si>
  <si>
    <t>Butterfly valve With Actuator 21/2"</t>
  </si>
  <si>
    <t>Check valve 1/2"</t>
  </si>
  <si>
    <t>3000#</t>
  </si>
  <si>
    <t xml:space="preserve"> SA-106 Gr.B / SA-105</t>
  </si>
  <si>
    <t>Nm3/hr</t>
  </si>
  <si>
    <t>PROJECT :</t>
  </si>
  <si>
    <t>DATE:</t>
  </si>
  <si>
    <t>Revision:</t>
  </si>
  <si>
    <r>
      <t/>
    </r>
    <r>
      <rPr>
        <b/>
        <sz val="10"/>
        <color theme="1"/>
        <rFont val="Calibri"/>
        <family val="2"/>
        <charset val="0"/>
        <scheme val="minor"/>
      </rPr>
      <t>Note1:  Dryer inlet flow rate is</t>
    </r>
    <r>
      <rPr>
        <b/>
        <sz val="10"/>
        <color rgb="FFFF0000"/>
        <rFont val="Calibri"/>
        <family val="2"/>
        <charset val="0"/>
        <scheme val="minor"/>
      </rPr>
      <t xml:space="preserve"> 1360 </t>
    </r>
    <r>
      <rPr>
        <b/>
        <sz val="10"/>
        <color theme="1"/>
        <rFont val="Calibri"/>
        <family val="2"/>
        <charset val="0"/>
        <scheme val="minor"/>
      </rPr>
      <t>Nm3/h. By considering 15% purge , the outlet flow rate will be</t>
    </r>
    <r>
      <rPr>
        <b/>
        <sz val="10"/>
        <color rgb="FFFF0000"/>
        <rFont val="Calibri"/>
        <family val="2"/>
        <charset val="0"/>
        <scheme val="minor"/>
      </rPr>
      <t xml:space="preserve"> 1156</t>
    </r>
    <r>
      <rPr>
        <b/>
        <sz val="10"/>
        <color theme="1"/>
        <rFont val="Calibri"/>
        <family val="2"/>
        <charset val="0"/>
        <scheme val="minor"/>
      </rPr>
      <t xml:space="preserve"> Nm3/hr.</t>
    </r>
  </si>
  <si>
    <t>Page 2 of 2</t>
  </si>
  <si>
    <t>1620 x1000 x 2600 (Approx.)</t>
  </si>
  <si>
    <t>SA516 Gr.70</t>
  </si>
  <si>
    <t>(250*D/500)/251</t>
  </si>
  <si>
    <t>ts&lt;=</t>
  </si>
  <si>
    <t>ts/L&lt;0.002</t>
  </si>
  <si>
    <t>As per Appendix 1-4 ASME VIII div.1</t>
  </si>
  <si>
    <t>tr=PDoKcor/2SE+2P(Kcor-0.1)</t>
  </si>
  <si>
    <t>tr=</t>
  </si>
  <si>
    <t>ID=</t>
  </si>
  <si>
    <t>Kcor=</t>
  </si>
  <si>
    <t>Kr = 0.17*D = Knuckle Radius</t>
  </si>
  <si>
    <t>SA 2.1/2 
100 micron Epoxy</t>
  </si>
  <si>
    <t>SA 2.1/2 
40 micron Zinc Rich Epoxy Primer
40 micron High Build Epoxy Polyamide
40 micron Aliphatic Polyurethane Top Coat
Total: 120 micron</t>
  </si>
  <si>
    <t>Butterfly Valve with Acctuator 6"</t>
  </si>
  <si>
    <t>Butterfly Valve With Actuator 21/2"</t>
  </si>
  <si>
    <t>Butterfly Valve with acctuator 4"</t>
  </si>
  <si>
    <t>Created with a trial version of Syncfusion Essential XlsIO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</si>
</sst>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4" formatCode="0.000"/>
    <numFmt numFmtId="165" formatCode="[$-409]dd\-mmm\-yy;@"/>
    <numFmt numFmtId="166" formatCode="[$-409]d\-mmm\-yyyy;@"/>
    <numFmt numFmtId="167" formatCode="0.0"/>
    <numFmt numFmtId="168" formatCode="[$-409]d\-mmm\-yy;@"/>
  </numFmts>
  <fonts count="83">
    <font>
      <sz val="11"/>
      <color theme="1"/>
      <name val="Calibri"/>
      <family val="2"/>
      <charset val="0"/>
      <scheme val="minor"/>
    </font>
    <font>
      <sz val="8"/>
      <name val="Calibri"/>
      <family val="2"/>
      <charset val="0"/>
      <scheme val="minor"/>
    </font>
    <font>
      <b/>
      <sz val="14"/>
      <color theme="1"/>
      <name val="Calibri"/>
      <family val="2"/>
      <charset val="0"/>
      <scheme val="minor"/>
    </font>
    <font>
      <sz val="9.5"/>
      <color theme="1"/>
      <name val="Calibri"/>
      <family val="2"/>
      <charset val="0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2"/>
      <color rgb="FFFF0000"/>
      <name val="Calibri"/>
      <family val="2"/>
      <charset val="0"/>
      <scheme val="minor"/>
    </font>
    <font>
      <b/>
      <sz val="9"/>
      <color theme="1"/>
      <name val="Calibri"/>
      <family val="2"/>
      <charset val="0"/>
      <scheme val="minor"/>
    </font>
    <font>
      <i/>
      <sz val="10"/>
      <color rgb="FF0070C0"/>
      <name val="Calibri"/>
      <family val="2"/>
      <charset val="0"/>
      <scheme val="minor"/>
    </font>
    <font>
      <b/>
      <i/>
      <sz val="11"/>
      <color theme="1"/>
      <name val="Calibri"/>
      <family val="2"/>
      <charset val="0"/>
      <scheme val="minor"/>
    </font>
    <font>
      <b/>
      <sz val="11"/>
      <color rgb="FF00B050"/>
      <name val="Calibri"/>
      <family val="2"/>
      <charset val="0"/>
      <scheme val="minor"/>
    </font>
    <font>
      <b/>
      <sz val="12"/>
      <color theme="1"/>
      <name val="Calibri"/>
      <family val="2"/>
      <charset val="0"/>
      <scheme val="minor"/>
    </font>
    <font>
      <b/>
      <i/>
      <sz val="8"/>
      <color theme="1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b/>
      <sz val="10"/>
      <color theme="1"/>
      <name val="Calibri"/>
      <family val="2"/>
      <charset val="0"/>
      <scheme val="minor"/>
    </font>
    <font>
      <b/>
      <sz val="14"/>
      <color rgb="FFFF0000"/>
      <name val="Calibri"/>
      <family val="2"/>
      <charset val="0"/>
      <scheme val="minor"/>
    </font>
    <font>
      <b/>
      <sz val="13"/>
      <color rgb="FFFF0000"/>
      <name val="Calibri"/>
      <family val="2"/>
      <charset val="0"/>
      <scheme val="minor"/>
    </font>
    <font>
      <b/>
      <sz val="12"/>
      <color rgb="FF00B050"/>
      <name val="Calibri"/>
      <family val="2"/>
      <charset val="0"/>
      <scheme val="minor"/>
    </font>
    <font>
      <b/>
      <i/>
      <sz val="10"/>
      <color theme="1"/>
      <name val="Calibri"/>
      <family val="2"/>
      <charset val="0"/>
      <scheme val="minor"/>
    </font>
    <font>
      <b/>
      <sz val="5.5"/>
      <color theme="1"/>
      <name val="Calibri"/>
      <family val="2"/>
      <charset val="0"/>
      <scheme val="minor"/>
    </font>
    <font>
      <b/>
      <sz val="16"/>
      <color theme="1"/>
      <name val="Calibri"/>
      <family val="2"/>
      <charset val="0"/>
      <scheme val="minor"/>
    </font>
    <font>
      <b/>
      <sz val="24"/>
      <color theme="1"/>
      <name val="Calibri"/>
      <family val="2"/>
      <charset val="0"/>
      <scheme val="minor"/>
    </font>
    <font>
      <sz val="10"/>
      <name val="Calibri"/>
      <family val="2"/>
      <charset val="0"/>
      <scheme val="minor"/>
    </font>
    <font>
      <sz val="11"/>
      <name val="Wingdings 2"/>
      <family val="1"/>
      <charset val="2"/>
    </font>
    <font>
      <vertAlign val="superscript"/>
      <sz val="10"/>
      <name val="Times New Roman"/>
      <family val="1"/>
      <charset val="0"/>
    </font>
    <font>
      <sz val="10"/>
      <name val="Times New Roman"/>
      <family val="1"/>
      <charset val="0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  <charset val="0"/>
    </font>
    <font>
      <sz val="9"/>
      <color theme="1"/>
      <name val="Times New Roman"/>
      <family val="1"/>
      <charset val="0"/>
    </font>
    <font>
      <b/>
      <sz val="10"/>
      <name val="Calibri"/>
      <family val="2"/>
      <charset val="0"/>
      <scheme val="minor"/>
    </font>
    <font>
      <b/>
      <i/>
      <sz val="10"/>
      <name val="Calibri"/>
      <family val="2"/>
      <charset val="0"/>
      <scheme val="minor"/>
    </font>
    <font>
      <b/>
      <sz val="9.5"/>
      <color theme="1"/>
      <name val="Calibri"/>
      <family val="2"/>
      <charset val="0"/>
      <scheme val="minor"/>
    </font>
    <font>
      <sz val="9"/>
      <color theme="1"/>
      <name val="Calibri"/>
      <family val="2"/>
      <charset val="0"/>
      <scheme val="minor"/>
    </font>
    <font>
      <sz val="11"/>
      <color theme="1"/>
      <name val="Wingdings 2"/>
      <family val="1"/>
      <charset val="2"/>
    </font>
    <font>
      <sz val="11"/>
      <name val="Calibri"/>
      <family val="2"/>
      <charset val="0"/>
      <scheme val="minor"/>
    </font>
    <font>
      <b/>
      <sz val="10"/>
      <color rgb="FF00B050"/>
      <name val="Calibri"/>
      <family val="2"/>
      <charset val="0"/>
      <scheme val="minor"/>
    </font>
    <font>
      <b/>
      <sz val="9.5"/>
      <color rgb="FF00B050"/>
      <name val="Calibri"/>
      <family val="2"/>
      <charset val="0"/>
      <scheme val="minor"/>
    </font>
    <font>
      <sz val="12"/>
      <color theme="1"/>
      <name val="Calibri"/>
      <family val="2"/>
      <charset val="0"/>
      <scheme val="minor"/>
    </font>
    <font>
      <b/>
      <sz val="36"/>
      <color theme="1"/>
      <name val="Calibri"/>
      <family val="2"/>
      <charset val="0"/>
      <scheme val="minor"/>
    </font>
    <font>
      <sz val="11"/>
      <color theme="1"/>
      <name val="Eras_itc"/>
      <charset val="0"/>
    </font>
    <font>
      <b/>
      <sz val="12"/>
      <color rgb="FFFF0000"/>
      <name val="Eras_itc"/>
      <charset val="0"/>
    </font>
    <font>
      <b/>
      <sz val="11.5"/>
      <color rgb="FFFF0000"/>
      <name val="Eras_itc"/>
      <charset val="0"/>
    </font>
    <font>
      <b/>
      <sz val="14"/>
      <color rgb="FFFF3300"/>
      <name val="Eras_itc"/>
      <charset val="0"/>
    </font>
    <font>
      <b/>
      <sz val="11"/>
      <color rgb="FF333333"/>
      <name val="Eras_itc"/>
      <charset val="0"/>
    </font>
    <font>
      <vertAlign val="superscript"/>
      <sz val="12"/>
      <color theme="1"/>
      <name val="Calibri"/>
      <family val="2"/>
      <charset val="0"/>
      <scheme val="minor"/>
    </font>
    <font>
      <sz val="11"/>
      <color theme="1"/>
      <name val="Agency FB"/>
      <family val="2"/>
      <charset val="0"/>
    </font>
    <font>
      <sz val="10"/>
      <color theme="1"/>
      <name val="Eras_itc"/>
      <charset val="0"/>
    </font>
    <font>
      <b/>
      <sz val="11"/>
      <color rgb="FFFF3300"/>
      <name val="Eras_itc"/>
      <charset val="0"/>
    </font>
    <font>
      <sz val="11"/>
      <color rgb="FF333333"/>
      <name val="Eras_itc"/>
      <charset val="0"/>
    </font>
    <font>
      <b/>
      <sz val="10"/>
      <color rgb="FFFF0000"/>
      <name val="Eras_itc"/>
      <charset val="0"/>
    </font>
    <font>
      <sz val="11"/>
      <color rgb="FF0000FE"/>
      <name val="Eras_itc"/>
      <charset val="0"/>
    </font>
    <font>
      <sz val="10.5"/>
      <color theme="1"/>
      <name val="Calibri"/>
      <family val="2"/>
      <charset val="0"/>
      <scheme val="minor"/>
    </font>
    <font>
      <b/>
      <sz val="12"/>
      <color rgb="FFFF0066"/>
      <name val="Eras_itc"/>
      <charset val="0"/>
    </font>
    <font>
      <b/>
      <i/>
      <sz val="12"/>
      <color theme="8" tint="-0.249977111117893"/>
      <name val="Eras_itc"/>
      <charset val="0"/>
    </font>
    <font>
      <sz val="11"/>
      <color theme="8" tint="-0.249977111117893"/>
      <name val="Eras_itc"/>
      <charset val="0"/>
    </font>
    <font>
      <b/>
      <sz val="11"/>
      <color theme="8" tint="-0.249977111117893"/>
      <name val="Eras_itc"/>
      <charset val="0"/>
    </font>
    <font>
      <b/>
      <sz val="12"/>
      <color theme="1"/>
      <name val="Agency FB"/>
      <family val="2"/>
      <charset val="0"/>
    </font>
    <font>
      <sz val="11.5"/>
      <color theme="1"/>
      <name val="Calibri"/>
      <family val="2"/>
      <charset val="0"/>
      <scheme val="minor"/>
    </font>
    <font>
      <b/>
      <sz val="11"/>
      <color rgb="FF00B050"/>
      <name val="Eras_itc"/>
      <charset val="0"/>
    </font>
    <font>
      <b/>
      <sz val="18"/>
      <color rgb="FFFF0000"/>
      <name val="Calibri"/>
      <family val="2"/>
      <charset val="0"/>
      <scheme val="minor"/>
    </font>
    <font>
      <b/>
      <sz val="20"/>
      <color theme="1"/>
      <name val="Calibri"/>
      <family val="2"/>
      <charset val="0"/>
      <scheme val="minor"/>
    </font>
    <font>
      <sz val="14"/>
      <color theme="1"/>
      <name val="Calibri"/>
      <family val="2"/>
      <charset val="0"/>
      <scheme val="minor"/>
    </font>
    <font>
      <b/>
      <sz val="12"/>
      <color rgb="FF00B050"/>
      <name val="Eras_itc"/>
      <charset val="0"/>
    </font>
    <font>
      <sz val="20"/>
      <color theme="1"/>
      <name val="Calibri"/>
      <family val="2"/>
      <charset val="0"/>
      <scheme val="minor"/>
    </font>
    <font>
      <b/>
      <sz val="20"/>
      <color rgb="FFFF0000"/>
      <name val="Eras_itc"/>
      <charset val="0"/>
    </font>
    <font>
      <sz val="11"/>
      <color rgb="FFFF0000"/>
      <name val="Eras_itc"/>
      <charset val="0"/>
    </font>
    <font>
      <b/>
      <sz val="11"/>
      <color rgb="FFFF0000"/>
      <name val="Eras_itc"/>
      <charset val="0"/>
    </font>
    <font>
      <sz val="8.5"/>
      <color theme="1"/>
      <name val="Calibri"/>
      <family val="2"/>
      <charset val="0"/>
      <scheme val="minor"/>
    </font>
    <font>
      <sz val="16"/>
      <color rgb="FFFF0000"/>
      <name val="Calibri"/>
      <family val="2"/>
      <charset val="0"/>
      <scheme val="minor"/>
    </font>
    <font>
      <b/>
      <sz val="13"/>
      <color theme="1"/>
      <name val="Calibri"/>
      <family val="2"/>
      <charset val="0"/>
      <scheme val="minor"/>
    </font>
    <font>
      <sz val="13"/>
      <color theme="1"/>
      <name val="Calibri"/>
      <family val="2"/>
      <charset val="0"/>
      <scheme val="minor"/>
    </font>
    <font>
      <sz val="8"/>
      <color theme="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1"/>
      <color theme="0" tint="-0.14999847407452621"/>
      <name val="Calibri"/>
      <family val="2"/>
      <charset val="0"/>
      <scheme val="minor"/>
    </font>
    <font>
      <sz val="11"/>
      <color theme="1" tint="0.34998626667073579"/>
      <name val="Calibri"/>
      <family val="2"/>
      <charset val="0"/>
      <scheme val="minor"/>
    </font>
    <font>
      <b/>
      <sz val="10"/>
      <color rgb="FFFF0000"/>
      <name val="Calibri"/>
      <family val="2"/>
      <charset val="0"/>
      <scheme val="minor"/>
    </font>
    <font>
      <sz val="10"/>
      <color rgb="FF00B050"/>
      <name val="Calibri"/>
      <family val="2"/>
      <charset val="0"/>
      <scheme val="minor"/>
    </font>
    <font>
      <b/>
      <sz val="11"/>
      <color rgb="FF00B0F0"/>
      <name val="Calibri"/>
      <family val="2"/>
      <charset val="0"/>
      <scheme val="minor"/>
    </font>
    <font>
      <i/>
      <sz val="20"/>
      <color rgb="FF0070C0"/>
      <name val="Calibri"/>
      <family val="2"/>
      <charset val="0"/>
      <scheme val="minor"/>
    </font>
    <font>
      <b/>
      <sz val="11"/>
      <color rgb="FFFF0000"/>
      <name val="Calibri"/>
      <family val="2"/>
      <charset val="0"/>
      <scheme val="minor"/>
    </font>
    <font>
      <sz val="14"/>
      <color rgb="FF000000"/>
      <name val="Calibri"/>
      <family val="2"/>
      <charset val="0"/>
    </font>
    <font>
      <b/>
      <sz val="14"/>
      <color rgb="FF000000"/>
      <name val="Calibri"/>
      <family val="2"/>
      <charset val="0"/>
    </font>
  </fonts>
  <fills count="1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626">
    <xf numFmtId="0" fontId="0" fillId="0" borderId="0"/>
  </cellStyleXfs>
  <cellXfs>
    <xf numFmtId="0" fontId="0" fillId="0" borderId="0" xfId="0"/>
    <xf numFmtId="0" fontId="0" fillId="2" borderId="1" xfId="0" applyAlignment="1" applyBorder="1" applyFill="1">
      <alignment horizontal="center" vertical="center"/>
    </xf>
    <xf numFmtId="0" fontId="0" fillId="0" borderId="0" xfId="0" applyAlignment="1" applyBorder="1">
      <alignment horizontal="center" vertical="center"/>
    </xf>
    <xf numFmtId="0" fontId="0" fillId="2" borderId="2" xfId="0" applyAlignment="1" applyBorder="1" applyFill="1">
      <alignment horizontal="center" vertical="center" wrapText="1"/>
    </xf>
    <xf numFmtId="0" fontId="0" fillId="2" borderId="3" xfId="0" applyAlignment="1" applyBorder="1" applyFill="1">
      <alignment horizontal="center" vertical="center"/>
    </xf>
    <xf numFmtId="0" fontId="0" fillId="2" borderId="4" xfId="0" applyAlignment="1" applyBorder="1" applyFill="1">
      <alignment horizontal="center" vertical="center" wrapText="1"/>
    </xf>
    <xf numFmtId="0" fontId="0" fillId="2" borderId="5" xfId="0" applyAlignment="1" applyBorder="1" applyFill="1">
      <alignment horizontal="center" vertical="center" wrapText="1"/>
    </xf>
    <xf numFmtId="0" fontId="0" fillId="0" borderId="6" xfId="0" applyAlignment="1" applyBorder="1" applyFill="1">
      <alignment horizontal="center" vertical="center"/>
    </xf>
    <xf numFmtId="0" fontId="0" fillId="0" borderId="0" xfId="0" applyFill="1"/>
    <xf numFmtId="0" fontId="0" fillId="0" borderId="7" xfId="0" applyAlignment="1" applyBorder="1" applyFill="1">
      <alignment horizontal="center" vertical="center"/>
    </xf>
    <xf numFmtId="0" fontId="0" fillId="0" borderId="8" xfId="0" applyAlignment="1" applyBorder="1" applyFill="1">
      <alignment horizontal="center" vertical="center"/>
    </xf>
    <xf numFmtId="0" fontId="0" fillId="0" borderId="4" xfId="0" applyAlignment="1" applyBorder="1">
      <alignment horizontal="center" vertical="center"/>
    </xf>
    <xf numFmtId="0" fontId="0" fillId="0" borderId="0" xfId="0" applyAlignment="1">
      <alignment vertical="center"/>
    </xf>
    <xf numFmtId="0" fontId="9" fillId="0" borderId="9" xfId="0" applyAlignment="1" applyBorder="1" applyFont="1">
      <alignment horizontal="center" vertical="center"/>
    </xf>
    <xf numFmtId="0" fontId="9" fillId="0" borderId="10" xfId="0" applyAlignment="1" applyBorder="1" applyFont="1">
      <alignment horizontal="center" vertical="center"/>
    </xf>
    <xf numFmtId="0" fontId="8" fillId="0" borderId="0" xfId="0" applyAlignment="1" applyBorder="1" applyFont="1">
      <alignment vertical="center"/>
    </xf>
    <xf numFmtId="0" fontId="0" fillId="0" borderId="3" xfId="0" applyAlignment="1" applyBorder="1">
      <alignment horizontal="center" vertical="center"/>
    </xf>
    <xf numFmtId="0" fontId="0" fillId="0" borderId="9" xfId="0" applyAlignment="1" applyBorder="1" applyFill="1">
      <alignment horizontal="center" vertical="center"/>
    </xf>
    <xf numFmtId="0" fontId="0" fillId="0" borderId="11" xfId="0" applyAlignment="1" applyBorder="1" applyFill="1">
      <alignment horizontal="center" vertical="center"/>
    </xf>
    <xf numFmtId="0" fontId="0" fillId="0" borderId="1" xfId="0" applyAlignment="1" applyBorder="1" applyFill="1">
      <alignment horizontal="center" vertical="center"/>
    </xf>
    <xf numFmtId="0" fontId="5" fillId="0" borderId="12" xfId="0" applyAlignment="1" applyBorder="1" applyFont="1" applyFill="1">
      <alignment horizontal="center" vertical="center"/>
    </xf>
    <xf numFmtId="0" fontId="0" fillId="0" borderId="13" xfId="0" applyAlignment="1" applyBorder="1" applyFill="1">
      <alignment horizontal="center" vertical="center"/>
    </xf>
    <xf numFmtId="0" fontId="0" fillId="0" borderId="14" xfId="0" applyAlignment="1" applyBorder="1" applyFill="1">
      <alignment horizontal="center" vertical="center"/>
    </xf>
    <xf numFmtId="0" fontId="0" fillId="0" borderId="0" xfId="0" applyAlignment="1" applyBorder="1" applyFill="1">
      <alignment horizontal="center" vertical="center"/>
    </xf>
    <xf numFmtId="0" fontId="0" fillId="0" borderId="0" xfId="0" applyBorder="1" applyFill="1"/>
    <xf numFmtId="0" fontId="9" fillId="0" borderId="0" xfId="0" applyFont="1" applyFill="1"/>
    <xf numFmtId="0" fontId="10" fillId="3" borderId="10" xfId="0" applyAlignment="1" applyBorder="1" applyFont="1" applyFill="1">
      <alignment horizontal="center" vertical="center"/>
    </xf>
    <xf numFmtId="2" fontId="10" fillId="3" borderId="10" xfId="0" applyAlignment="1" applyBorder="1" applyFont="1" applyNumberFormat="1" applyFill="1">
      <alignment horizontal="center" vertical="center"/>
    </xf>
    <xf numFmtId="0" fontId="0" fillId="0" borderId="7" xfId="0" applyAlignment="1" applyBorder="1" applyFont="1" applyFill="1">
      <alignment horizontal="center" vertical="center"/>
    </xf>
    <xf numFmtId="0" fontId="9" fillId="0" borderId="15" xfId="0" applyAlignment="1" applyBorder="1" applyFont="1">
      <alignment horizontal="center" vertical="center"/>
    </xf>
    <xf numFmtId="0" fontId="12" fillId="2" borderId="2" xfId="0" applyAlignment="1" applyBorder="1" applyFont="1" applyFill="1">
      <alignment horizontal="center" vertical="center"/>
    </xf>
    <xf numFmtId="0" fontId="12" fillId="2" borderId="4" xfId="0" applyAlignment="1" applyBorder="1" applyFont="1" applyFill="1">
      <alignment horizontal="center" vertical="center"/>
    </xf>
    <xf numFmtId="0" fontId="0" fillId="0" borderId="16" xfId="0" applyAlignment="1" applyBorder="1" applyFill="1">
      <alignment horizontal="center" vertical="center"/>
    </xf>
    <xf numFmtId="1" fontId="0" fillId="0" borderId="9" xfId="0" applyAlignment="1" applyBorder="1" applyNumberFormat="1" applyFill="1">
      <alignment horizontal="center" vertical="center"/>
    </xf>
    <xf numFmtId="1" fontId="0" fillId="0" borderId="10" xfId="0" applyAlignment="1" applyBorder="1" applyNumberFormat="1" applyFill="1">
      <alignment horizontal="center" vertical="center"/>
    </xf>
    <xf numFmtId="1" fontId="0" fillId="0" borderId="1" xfId="0" applyAlignment="1" applyBorder="1" applyNumberFormat="1" applyFill="1">
      <alignment horizontal="center" vertical="center"/>
    </xf>
    <xf numFmtId="0" fontId="0" fillId="2" borderId="17" xfId="0" applyAlignment="1" applyBorder="1" applyFill="1">
      <alignment horizontal="center" vertical="center"/>
    </xf>
    <xf numFmtId="0" fontId="0" fillId="2" borderId="14" xfId="0" applyAlignment="1" applyBorder="1" applyFill="1">
      <alignment horizontal="center" vertical="center"/>
    </xf>
    <xf numFmtId="0" fontId="14" fillId="0" borderId="7" xfId="0" applyAlignment="1" applyBorder="1" applyFont="1" applyFill="1">
      <alignment horizontal="center" vertical="center"/>
    </xf>
    <xf numFmtId="0" fontId="14" fillId="0" borderId="12" xfId="0" applyAlignment="1" applyBorder="1" applyFont="1" applyFill="1">
      <alignment horizontal="center" vertical="center"/>
    </xf>
    <xf numFmtId="0" fontId="14" fillId="0" borderId="11" xfId="0" applyAlignment="1" applyBorder="1" applyFont="1" applyFill="1">
      <alignment horizontal="center" vertical="center"/>
    </xf>
    <xf numFmtId="0" fontId="9" fillId="0" borderId="0" xfId="0" applyAlignment="1" applyBorder="1" applyFont="1" applyFill="1">
      <alignment horizontal="center" vertical="center"/>
    </xf>
    <xf numFmtId="0" fontId="7" fillId="0" borderId="6" xfId="0" applyAlignment="1" applyBorder="1" applyFont="1" applyFill="1">
      <alignment vertical="center"/>
    </xf>
    <xf numFmtId="2" fontId="0" fillId="0" borderId="6" xfId="0" applyAlignment="1" applyBorder="1" applyNumberFormat="1">
      <alignment horizontal="center" vertical="center"/>
    </xf>
    <xf numFmtId="0" fontId="7" fillId="0" borderId="12" xfId="0" applyAlignment="1" applyBorder="1" applyFont="1" applyFill="1">
      <alignment vertical="center"/>
    </xf>
    <xf numFmtId="0" fontId="11" fillId="0" borderId="18" xfId="0" applyAlignment="1" applyBorder="1" applyFont="1" applyFill="1">
      <alignment vertical="center"/>
    </xf>
    <xf numFmtId="0" fontId="11" fillId="0" borderId="19" xfId="0" applyAlignment="1" applyBorder="1" applyFont="1" applyFill="1">
      <alignment vertical="center"/>
    </xf>
    <xf numFmtId="0" fontId="13" fillId="2" borderId="7" xfId="0" applyAlignment="1" applyBorder="1" applyFont="1" applyFill="1">
      <alignment horizontal="center" vertical="center"/>
    </xf>
    <xf numFmtId="0" fontId="13" fillId="2" borderId="9" xfId="0" applyAlignment="1" applyBorder="1" applyFont="1" applyFill="1">
      <alignment horizontal="center" vertical="center"/>
    </xf>
    <xf numFmtId="0" fontId="13" fillId="2" borderId="11" xfId="0" applyAlignment="1" applyBorder="1" applyFont="1" applyFill="1">
      <alignment horizontal="center" vertical="center"/>
    </xf>
    <xf numFmtId="0" fontId="13" fillId="2" borderId="1" xfId="0" applyAlignment="1" applyBorder="1" applyFont="1" applyFill="1">
      <alignment horizontal="center" vertical="center"/>
    </xf>
    <xf numFmtId="0" fontId="18" fillId="2" borderId="2" xfId="0" applyAlignment="1" applyBorder="1" applyFont="1" applyFill="1">
      <alignment horizontal="center" vertical="center"/>
    </xf>
    <xf numFmtId="0" fontId="18" fillId="2" borderId="4" xfId="0" applyAlignment="1" applyBorder="1" applyFont="1" applyFill="1">
      <alignment horizontal="center" vertical="center"/>
    </xf>
    <xf numFmtId="0" fontId="16" fillId="3" borderId="20" xfId="0" applyAlignment="1" applyBorder="1" applyFont="1" applyFill="1">
      <alignment horizontal="center" vertical="center"/>
    </xf>
    <xf numFmtId="2" fontId="0" fillId="0" borderId="5" xfId="0" applyAlignment="1" applyBorder="1" applyFont="1" applyNumberFormat="1" applyFill="1">
      <alignment vertical="center"/>
    </xf>
    <xf numFmtId="0" fontId="21" fillId="0" borderId="0" xfId="0" applyAlignment="1" applyFont="1">
      <alignment vertical="center"/>
    </xf>
    <xf numFmtId="0" fontId="0" fillId="0" borderId="0" xfId="0" applyAlignment="1">
      <alignment horizontal="left" vertical="center"/>
    </xf>
    <xf numFmtId="0" fontId="13" fillId="0" borderId="21" xfId="0" applyAlignment="1" applyBorder="1" applyFont="1">
      <alignment horizontal="center" vertical="center"/>
    </xf>
    <xf numFmtId="0" fontId="23" fillId="0" borderId="13" xfId="0" applyAlignment="1" applyBorder="1" applyFont="1">
      <alignment horizontal="center" vertical="center"/>
    </xf>
    <xf numFmtId="0" fontId="13" fillId="0" borderId="12" xfId="0" applyAlignment="1" applyBorder="1" applyFont="1">
      <alignment horizontal="center" vertical="center"/>
    </xf>
    <xf numFmtId="0" fontId="23" fillId="0" borderId="6" xfId="0" applyAlignment="1" applyBorder="1" applyFont="1">
      <alignment horizontal="center" vertical="center"/>
    </xf>
    <xf numFmtId="0" fontId="13" fillId="0" borderId="18" xfId="0" applyAlignment="1" applyBorder="1" applyFont="1">
      <alignment horizontal="center" vertical="center"/>
    </xf>
    <xf numFmtId="0" fontId="23" fillId="0" borderId="22" xfId="0" applyAlignment="1" applyBorder="1" applyFont="1">
      <alignment horizontal="center" vertical="center"/>
    </xf>
    <xf numFmtId="0" fontId="30" fillId="0" borderId="23" xfId="0" applyAlignment="1" applyBorder="1" applyFont="1">
      <alignment vertical="center"/>
    </xf>
    <xf numFmtId="0" fontId="23" fillId="0" borderId="24" xfId="0" applyAlignment="1" applyBorder="1" applyFont="1">
      <alignment horizontal="center" vertical="center"/>
    </xf>
    <xf numFmtId="0" fontId="30" fillId="0" borderId="25" xfId="0" applyAlignment="1" applyBorder="1" applyFont="1">
      <alignment vertical="center"/>
    </xf>
    <xf numFmtId="0" fontId="30" fillId="0" borderId="0" xfId="0" applyAlignment="1" applyFont="1">
      <alignment vertical="center"/>
    </xf>
    <xf numFmtId="0" fontId="30" fillId="0" borderId="26" xfId="0" applyAlignment="1" applyBorder="1" applyFont="1">
      <alignment vertical="center"/>
    </xf>
    <xf numFmtId="0" fontId="30" fillId="0" borderId="27" xfId="0" applyAlignment="1" applyBorder="1" applyFont="1">
      <alignment vertical="center"/>
    </xf>
    <xf numFmtId="0" fontId="30" fillId="0" borderId="28" xfId="0" applyAlignment="1" applyBorder="1" applyFont="1">
      <alignment vertical="center"/>
    </xf>
    <xf numFmtId="0" fontId="13" fillId="0" borderId="11" xfId="0" applyAlignment="1" applyBorder="1" applyFont="1">
      <alignment horizontal="center" vertical="center"/>
    </xf>
    <xf numFmtId="0" fontId="23" fillId="0" borderId="29" xfId="0" applyAlignment="1" applyBorder="1" applyFont="1">
      <alignment horizontal="center" vertical="center"/>
    </xf>
    <xf numFmtId="0" fontId="30" fillId="0" borderId="30" xfId="0" applyAlignment="1" applyBorder="1" applyFont="1">
      <alignment vertical="center"/>
    </xf>
    <xf numFmtId="0" fontId="23" fillId="0" borderId="31" xfId="0" applyAlignment="1" applyBorder="1" applyFont="1">
      <alignment horizontal="center" vertical="center"/>
    </xf>
    <xf numFmtId="0" fontId="13" fillId="0" borderId="32" xfId="0" applyAlignment="1" applyBorder="1" applyFont="1">
      <alignment horizontal="center" vertical="center"/>
    </xf>
    <xf numFmtId="0" fontId="13" fillId="0" borderId="0" xfId="0" applyAlignment="1" applyFont="1">
      <alignment horizontal="center" vertical="center"/>
    </xf>
    <xf numFmtId="0" fontId="14" fillId="0" borderId="0" xfId="0" applyAlignment="1" applyFont="1">
      <alignment horizontal="center" vertical="center"/>
    </xf>
    <xf numFmtId="0" fontId="0" fillId="2" borderId="33" xfId="0" applyAlignment="1" applyBorder="1" applyFill="1">
      <alignment horizontal="center" vertical="center" wrapText="1"/>
    </xf>
    <xf numFmtId="0" fontId="0" fillId="2" borderId="34" xfId="0" applyAlignment="1" applyBorder="1" applyFill="1">
      <alignment horizontal="center" vertical="center" wrapText="1"/>
    </xf>
    <xf numFmtId="0" fontId="0" fillId="2" borderId="35" xfId="0" applyAlignment="1" applyBorder="1" applyFill="1">
      <alignment horizontal="center" vertical="center" wrapText="1"/>
    </xf>
    <xf numFmtId="0" fontId="0" fillId="0" borderId="12" xfId="0" applyAlignment="1" applyBorder="1">
      <alignment horizontal="center" vertical="center"/>
    </xf>
    <xf numFmtId="0" fontId="0" fillId="0" borderId="6" xfId="0" applyAlignment="1" applyBorder="1">
      <alignment horizontal="center" vertical="center"/>
    </xf>
    <xf numFmtId="0" fontId="0" fillId="0" borderId="10" xfId="0" applyAlignment="1" applyBorder="1">
      <alignment horizontal="center" vertical="center"/>
    </xf>
    <xf numFmtId="0" fontId="0" fillId="0" borderId="7" xfId="0" applyAlignment="1" applyBorder="1">
      <alignment horizontal="center" vertical="center"/>
    </xf>
    <xf numFmtId="0" fontId="0" fillId="0" borderId="8" xfId="0" applyAlignment="1" applyBorder="1">
      <alignment horizontal="center" vertical="center"/>
    </xf>
    <xf numFmtId="0" fontId="13" fillId="0" borderId="0" xfId="0" applyAlignment="1" applyFont="1">
      <alignment horizontal="left" vertical="center"/>
    </xf>
    <xf numFmtId="0" fontId="0" fillId="0" borderId="9" xfId="0" applyAlignment="1" applyBorder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/>
    <xf numFmtId="0" fontId="38" fillId="0" borderId="0" xfId="0" applyAlignment="1" applyFont="1">
      <alignment horizontal="center" vertical="center"/>
    </xf>
    <xf numFmtId="0" fontId="40" fillId="3" borderId="7" xfId="0" applyAlignment="1" applyBorder="1" applyFont="1" applyFill="1">
      <alignment horizontal="center" vertical="center"/>
    </xf>
    <xf numFmtId="2" fontId="41" fillId="4" borderId="11" xfId="0" applyAlignment="1" applyBorder="1" applyFont="1" applyNumberFormat="1" applyFill="1">
      <alignment horizontal="center" vertical="center"/>
    </xf>
    <xf numFmtId="0" fontId="6" fillId="0" borderId="0" xfId="0" applyAlignment="1" applyFont="1">
      <alignment horizontal="center" vertical="center"/>
    </xf>
    <xf numFmtId="0" fontId="11" fillId="0" borderId="0" xfId="0" applyAlignment="1" applyFont="1">
      <alignment horizontal="center" vertical="center"/>
    </xf>
    <xf numFmtId="0" fontId="11" fillId="0" borderId="6" xfId="0" applyAlignment="1" applyBorder="1" applyFont="1">
      <alignment horizontal="center" vertical="center"/>
    </xf>
    <xf numFmtId="0" fontId="40" fillId="0" borderId="6" xfId="0" applyAlignment="1" applyBorder="1" applyFont="1">
      <alignment horizontal="center" vertical="center"/>
    </xf>
    <xf numFmtId="0" fontId="40" fillId="3" borderId="6" xfId="0" applyAlignment="1" applyBorder="1" applyFont="1" applyFill="1">
      <alignment horizontal="center" vertical="center"/>
    </xf>
    <xf numFmtId="0" fontId="0" fillId="0" borderId="28" xfId="0" applyBorder="1"/>
    <xf numFmtId="0" fontId="38" fillId="5" borderId="37" xfId="0" applyAlignment="1" applyBorder="1" applyFont="1" applyFill="1">
      <alignment horizontal="center" vertical="center"/>
    </xf>
    <xf numFmtId="0" fontId="38" fillId="3" borderId="37" xfId="0" applyAlignment="1" applyBorder="1" applyFont="1" applyFill="1">
      <alignment horizontal="center" vertical="center"/>
    </xf>
    <xf numFmtId="0" fontId="38" fillId="5" borderId="38" xfId="0" applyAlignment="1" applyBorder="1" applyFont="1" applyFill="1">
      <alignment horizontal="center" vertical="center"/>
    </xf>
    <xf numFmtId="0" fontId="38" fillId="5" borderId="20" xfId="0" applyAlignment="1" applyBorder="1" applyFont="1" applyFill="1">
      <alignment horizontal="center" vertical="center"/>
    </xf>
    <xf numFmtId="0" fontId="46" fillId="0" borderId="6" xfId="0" applyAlignment="1" applyBorder="1" applyFont="1">
      <alignment horizontal="center" vertical="center"/>
    </xf>
    <xf numFmtId="0" fontId="47" fillId="0" borderId="0" xfId="0" applyAlignment="1" applyFont="1">
      <alignment horizontal="left" vertical="center"/>
    </xf>
    <xf numFmtId="0" fontId="48" fillId="0" borderId="0" xfId="0" applyAlignment="1" applyFont="1">
      <alignment horizontal="center" vertical="center"/>
    </xf>
    <xf numFmtId="0" fontId="15" fillId="0" borderId="0" xfId="0" applyAlignment="1" applyFont="1">
      <alignment horizontal="center" vertical="center"/>
    </xf>
    <xf numFmtId="2" fontId="0" fillId="0" borderId="0" xfId="0" applyAlignment="1" applyNumberFormat="1">
      <alignment horizontal="center" vertical="center"/>
    </xf>
    <xf numFmtId="0" fontId="49" fillId="0" borderId="0" xfId="0" applyAlignment="1" applyFont="1">
      <alignment horizontal="center" vertical="center"/>
    </xf>
    <xf numFmtId="0" fontId="44" fillId="0" borderId="0" xfId="0" applyAlignment="1" applyFont="1">
      <alignment horizontal="left" vertical="center"/>
    </xf>
    <xf numFmtId="0" fontId="38" fillId="0" borderId="0" xfId="0" applyAlignment="1" applyFont="1">
      <alignment horizontal="left" vertical="center"/>
    </xf>
    <xf numFmtId="0" fontId="51" fillId="0" borderId="0" xfId="0" applyAlignment="1" applyFont="1">
      <alignment horizontal="left" vertical="center"/>
    </xf>
    <xf numFmtId="0" fontId="51" fillId="0" borderId="0" xfId="0" applyFont="1"/>
    <xf numFmtId="0" fontId="44" fillId="0" borderId="0" xfId="0" applyAlignment="1" applyFont="1">
      <alignment vertical="center" wrapText="1"/>
    </xf>
    <xf numFmtId="0" fontId="49" fillId="0" borderId="0" xfId="0" applyAlignment="1" applyFont="1">
      <alignment vertical="center" wrapText="1"/>
    </xf>
    <xf numFmtId="0" fontId="0" fillId="0" borderId="11" xfId="0" applyAlignment="1" applyBorder="1">
      <alignment horizontal="center" vertical="center"/>
    </xf>
    <xf numFmtId="0" fontId="0" fillId="0" borderId="14" xfId="0" applyAlignment="1" applyBorder="1">
      <alignment horizontal="center" vertical="center"/>
    </xf>
    <xf numFmtId="0" fontId="0" fillId="0" borderId="1" xfId="0" applyAlignment="1" applyBorder="1">
      <alignment horizontal="center" vertical="center"/>
    </xf>
    <xf numFmtId="167" fontId="53" fillId="4" borderId="5" xfId="0" applyAlignment="1" applyBorder="1" applyFont="1" applyNumberFormat="1" applyFill="1">
      <alignment horizontal="center" vertical="center"/>
    </xf>
    <xf numFmtId="0" fontId="0" fillId="0" borderId="2" xfId="0" applyAlignment="1" applyBorder="1">
      <alignment horizontal="center" vertical="center"/>
    </xf>
    <xf numFmtId="167" fontId="53" fillId="4" borderId="39" xfId="0" applyAlignment="1" applyBorder="1" applyFont="1" applyNumberFormat="1" applyFill="1">
      <alignment horizontal="center" vertical="center"/>
    </xf>
    <xf numFmtId="0" fontId="0" fillId="0" borderId="39" xfId="0" applyAlignment="1" applyBorder="1">
      <alignment horizontal="center" vertical="center"/>
    </xf>
    <xf numFmtId="0" fontId="54" fillId="0" borderId="0" xfId="0" applyAlignment="1" applyFont="1">
      <alignment horizontal="left" vertical="center"/>
    </xf>
    <xf numFmtId="0" fontId="55" fillId="0" borderId="0" xfId="0" applyAlignment="1" applyFont="1">
      <alignment horizontal="left" vertical="center"/>
    </xf>
    <xf numFmtId="0" fontId="49" fillId="0" borderId="0" xfId="0" applyAlignment="1" applyFont="1">
      <alignment horizontal="left" vertical="center"/>
    </xf>
    <xf numFmtId="0" fontId="43" fillId="0" borderId="0" xfId="0" applyAlignment="1" applyFont="1">
      <alignment horizontal="left" vertical="center"/>
    </xf>
    <xf numFmtId="0" fontId="57" fillId="0" borderId="36" xfId="0" applyAlignment="1" applyBorder="1" applyFont="1">
      <alignment horizontal="right" vertical="center"/>
    </xf>
    <xf numFmtId="0" fontId="59" fillId="0" borderId="0" xfId="0" applyAlignment="1" applyFont="1">
      <alignment vertical="center" wrapText="1"/>
    </xf>
    <xf numFmtId="167" fontId="53" fillId="4" borderId="6" xfId="0" applyAlignment="1" applyBorder="1" applyFont="1" applyNumberFormat="1" applyFill="1">
      <alignment horizontal="center" vertical="center"/>
    </xf>
    <xf numFmtId="0" fontId="0" fillId="0" borderId="40" xfId="0" applyAlignment="1" applyBorder="1">
      <alignment horizontal="center" vertical="center"/>
    </xf>
    <xf numFmtId="2" fontId="0" fillId="4" borderId="37" xfId="0" applyAlignment="1" applyBorder="1" applyNumberFormat="1" applyFill="1">
      <alignment horizontal="center" vertical="center"/>
    </xf>
    <xf numFmtId="0" fontId="0" fillId="0" borderId="20" xfId="0" applyAlignment="1" applyBorder="1">
      <alignment horizontal="center" vertical="center"/>
    </xf>
    <xf numFmtId="0" fontId="0" fillId="0" borderId="0" xfId="0" applyAlignment="1">
      <alignment horizontal="justify" vertical="center" wrapText="1"/>
    </xf>
    <xf numFmtId="0" fontId="44" fillId="0" borderId="0" xfId="0" applyAlignment="1" applyFont="1">
      <alignment horizontal="justify" vertical="center" wrapText="1"/>
    </xf>
    <xf numFmtId="0" fontId="49" fillId="0" borderId="0" xfId="0" applyAlignment="1" applyFont="1">
      <alignment horizontal="left" vertical="center" wrapText="1"/>
    </xf>
    <xf numFmtId="0" fontId="61" fillId="0" borderId="0" xfId="0" applyAlignment="1" applyFont="1">
      <alignment horizontal="left" vertical="center"/>
    </xf>
    <xf numFmtId="0" fontId="0" fillId="6" borderId="40" xfId="0" applyAlignment="1" applyBorder="1" applyFill="1">
      <alignment horizontal="center" vertical="center"/>
    </xf>
    <xf numFmtId="2" fontId="6" fillId="4" borderId="37" xfId="0" applyAlignment="1" applyBorder="1" applyFont="1" applyNumberFormat="1" applyFill="1">
      <alignment horizontal="center" vertical="center"/>
    </xf>
    <xf numFmtId="0" fontId="0" fillId="6" borderId="20" xfId="0" applyAlignment="1" applyBorder="1" applyFill="1">
      <alignment horizontal="center" vertical="center"/>
    </xf>
    <xf numFmtId="0" fontId="39" fillId="0" borderId="0" xfId="0" applyAlignment="1" applyFont="1">
      <alignment horizontal="center" vertical="center"/>
    </xf>
    <xf numFmtId="0" fontId="0" fillId="0" borderId="0" xfId="0" applyAlignment="1" applyFill="1">
      <alignment horizontal="center" vertical="center"/>
    </xf>
    <xf numFmtId="2" fontId="0" fillId="0" borderId="0" xfId="0" applyAlignment="1" applyBorder="1" applyNumberFormat="1" applyFill="1">
      <alignment horizontal="center" vertical="center"/>
    </xf>
    <xf numFmtId="2" fontId="41" fillId="0" borderId="0" xfId="0" applyAlignment="1" applyBorder="1" applyFont="1" applyNumberFormat="1" applyFill="1">
      <alignment horizontal="center" vertical="center"/>
    </xf>
    <xf numFmtId="0" fontId="0" fillId="0" borderId="0" xfId="0" applyBorder="1"/>
    <xf numFmtId="0" fontId="49" fillId="0" borderId="0" xfId="0" applyAlignment="1" applyBorder="1" applyFont="1" applyFill="1">
      <alignment horizontal="center" vertical="center"/>
    </xf>
    <xf numFmtId="0" fontId="44" fillId="0" borderId="0" xfId="0" applyAlignment="1" applyBorder="1" applyFont="1" applyFill="1">
      <alignment horizontal="left" vertical="center"/>
    </xf>
    <xf numFmtId="0" fontId="38" fillId="0" borderId="0" xfId="0" applyAlignment="1" applyBorder="1" applyFont="1" applyFill="1">
      <alignment horizontal="center" vertical="center"/>
    </xf>
    <xf numFmtId="1" fontId="63" fillId="0" borderId="6" xfId="0" applyAlignment="1" applyBorder="1" applyFont="1" applyNumberFormat="1" applyFill="1">
      <alignment horizontal="center" vertical="center"/>
    </xf>
    <xf numFmtId="0" fontId="62" fillId="0" borderId="0" xfId="0" applyAlignment="1" applyFont="1">
      <alignment horizontal="center" vertical="center"/>
    </xf>
    <xf numFmtId="167" fontId="53" fillId="4" borderId="41" xfId="0" applyAlignment="1" applyBorder="1" applyFont="1" applyNumberFormat="1" applyFill="1">
      <alignment horizontal="center" vertical="center"/>
    </xf>
    <xf numFmtId="0" fontId="0" fillId="0" borderId="33" xfId="0" applyAlignment="1" applyBorder="1">
      <alignment horizontal="center" vertical="center"/>
    </xf>
    <xf numFmtId="0" fontId="0" fillId="0" borderId="42" xfId="0" applyAlignment="1" applyBorder="1">
      <alignment horizontal="center" vertical="center"/>
    </xf>
    <xf numFmtId="0" fontId="0" fillId="0" borderId="34" xfId="0" applyAlignment="1" applyBorder="1">
      <alignment horizontal="center" vertical="center"/>
    </xf>
    <xf numFmtId="0" fontId="46" fillId="0" borderId="2" xfId="0" applyAlignment="1" applyBorder="1" applyFont="1">
      <alignment horizontal="center" vertical="center"/>
    </xf>
    <xf numFmtId="0" fontId="0" fillId="0" borderId="43" xfId="0" applyAlignment="1" applyBorder="1">
      <alignment horizontal="center" vertical="center"/>
    </xf>
    <xf numFmtId="0" fontId="0" fillId="0" borderId="44" xfId="0" applyAlignment="1" applyBorder="1">
      <alignment horizontal="center" vertical="center"/>
    </xf>
    <xf numFmtId="1" fontId="0" fillId="0" borderId="42" xfId="0" applyAlignment="1" applyBorder="1" applyNumberFormat="1">
      <alignment horizontal="center" vertical="center"/>
    </xf>
    <xf numFmtId="164" fontId="53" fillId="4" borderId="6" xfId="0" applyAlignment="1" applyBorder="1" applyFont="1" applyNumberFormat="1" applyFill="1">
      <alignment horizontal="center" vertical="center"/>
    </xf>
    <xf numFmtId="0" fontId="42" fillId="0" borderId="0" xfId="0" applyAlignment="1" applyBorder="1" applyFont="1" applyFill="1">
      <alignment horizontal="left" vertical="center"/>
    </xf>
    <xf numFmtId="0" fontId="38" fillId="0" borderId="0" xfId="0" applyBorder="1" applyFont="1" applyFill="1"/>
    <xf numFmtId="0" fontId="64" fillId="0" borderId="36" xfId="0" applyBorder="1" applyFont="1"/>
    <xf numFmtId="0" fontId="64" fillId="0" borderId="0" xfId="0" applyFont="1"/>
    <xf numFmtId="0" fontId="57" fillId="0" borderId="36" xfId="0" applyAlignment="1" applyBorder="1" applyFont="1" applyFill="1">
      <alignment horizontal="right" vertical="center"/>
    </xf>
    <xf numFmtId="0" fontId="58" fillId="0" borderId="0" xfId="0" applyBorder="1" applyFont="1" applyFill="1"/>
    <xf numFmtId="0" fontId="6" fillId="0" borderId="0" xfId="0" applyAlignment="1" applyFont="1" applyFill="1">
      <alignment horizontal="center" vertical="center"/>
    </xf>
    <xf numFmtId="0" fontId="63" fillId="0" borderId="0" xfId="0" applyAlignment="1" applyBorder="1" applyFont="1" applyFill="1">
      <alignment horizontal="center" vertical="center"/>
    </xf>
    <xf numFmtId="1" fontId="63" fillId="0" borderId="0" xfId="0" applyAlignment="1" applyBorder="1" applyFont="1" applyNumberFormat="1" applyFill="1">
      <alignment horizontal="center" vertical="center"/>
    </xf>
    <xf numFmtId="0" fontId="66" fillId="0" borderId="0" xfId="0" applyAlignment="1" applyFont="1">
      <alignment horizontal="left" vertical="center"/>
    </xf>
    <xf numFmtId="167" fontId="53" fillId="4" borderId="2" xfId="0" applyAlignment="1" applyBorder="1" applyFont="1" applyNumberFormat="1" applyFill="1">
      <alignment horizontal="center" vertical="center"/>
    </xf>
    <xf numFmtId="0" fontId="13" fillId="2" borderId="18" xfId="0" applyAlignment="1" applyBorder="1" applyFont="1" applyFill="1">
      <alignment horizontal="center" vertical="center"/>
    </xf>
    <xf numFmtId="0" fontId="13" fillId="2" borderId="15" xfId="0" applyAlignment="1" applyBorder="1" applyFont="1" applyFill="1">
      <alignment horizontal="center" vertical="center"/>
    </xf>
    <xf numFmtId="0" fontId="0" fillId="2" borderId="28" xfId="0" applyAlignment="1" applyBorder="1" applyFill="1">
      <alignment horizontal="center" vertical="center"/>
    </xf>
    <xf numFmtId="0" fontId="0" fillId="0" borderId="45" xfId="0" applyAlignment="1" applyBorder="1">
      <alignment horizontal="center" vertical="center"/>
    </xf>
    <xf numFmtId="0" fontId="52" fillId="0" borderId="0" xfId="0" applyAlignment="1" applyBorder="1" applyFont="1">
      <alignment horizontal="center" vertical="center"/>
    </xf>
    <xf numFmtId="167" fontId="53" fillId="0" borderId="0" xfId="0" applyAlignment="1" applyBorder="1" applyFont="1" applyNumberFormat="1" applyFill="1">
      <alignment horizontal="center" vertical="center"/>
    </xf>
    <xf numFmtId="167" fontId="0" fillId="0" borderId="0" xfId="0" applyNumberFormat="1"/>
    <xf numFmtId="1" fontId="11" fillId="0" borderId="0" xfId="0" applyAlignment="1" applyBorder="1" applyFont="1" applyNumberFormat="1" applyFill="1">
      <alignment horizontal="center" vertical="center"/>
    </xf>
    <xf numFmtId="1" fontId="38" fillId="0" borderId="46" xfId="0" applyAlignment="1" applyBorder="1" applyFont="1" applyNumberFormat="1" applyFill="1">
      <alignment horizontal="center" vertical="center"/>
    </xf>
    <xf numFmtId="1" fontId="0" fillId="0" borderId="17" xfId="0" applyAlignment="1" applyBorder="1" applyFont="1" applyNumberFormat="1" applyFill="1">
      <alignment horizontal="center"/>
    </xf>
    <xf numFmtId="1" fontId="0" fillId="0" borderId="47" xfId="0" applyAlignment="1" applyBorder="1" applyFont="1" applyNumberFormat="1" applyFill="1">
      <alignment horizontal="center"/>
    </xf>
    <xf numFmtId="1" fontId="0" fillId="0" borderId="46" xfId="0" applyAlignment="1" applyBorder="1" applyFont="1" applyNumberFormat="1" applyFill="1">
      <alignment horizontal="center"/>
    </xf>
    <xf numFmtId="0" fontId="5" fillId="0" borderId="10" xfId="0" applyAlignment="1" applyBorder="1" applyFont="1" applyFill="1">
      <alignment horizontal="center" vertical="center"/>
    </xf>
    <xf numFmtId="0" fontId="5" fillId="0" borderId="15" xfId="0" applyAlignment="1" applyBorder="1" applyFont="1" applyFill="1">
      <alignment horizontal="center"/>
    </xf>
    <xf numFmtId="0" fontId="5" fillId="0" borderId="10" xfId="0" applyAlignment="1" applyBorder="1" applyFont="1">
      <alignment horizontal="center"/>
    </xf>
    <xf numFmtId="0" fontId="5" fillId="0" borderId="1" xfId="0" applyAlignment="1" applyBorder="1" applyFont="1">
      <alignment horizontal="center"/>
    </xf>
    <xf numFmtId="0" fontId="5" fillId="0" borderId="10" xfId="0" applyAlignment="1" applyBorder="1" applyFont="1" applyFill="1">
      <alignment horizontal="center"/>
    </xf>
    <xf numFmtId="1" fontId="71" fillId="0" borderId="48" xfId="0" applyAlignment="1" applyBorder="1" applyFont="1" applyNumberFormat="1" applyFill="1">
      <alignment horizontal="center" vertical="center"/>
    </xf>
    <xf numFmtId="0" fontId="70" fillId="0" borderId="49" xfId="0" applyAlignment="1" applyBorder="1" applyFont="1" applyFill="1">
      <alignment horizontal="center"/>
    </xf>
    <xf numFmtId="0" fontId="11" fillId="2" borderId="40" xfId="0" applyAlignment="1" applyBorder="1" applyFont="1" applyFill="1">
      <alignment horizontal="center" vertical="center"/>
    </xf>
    <xf numFmtId="1" fontId="11" fillId="2" borderId="20" xfId="0" applyAlignment="1" applyBorder="1" applyFont="1" applyNumberFormat="1" applyFill="1">
      <alignment horizontal="center" vertical="center"/>
    </xf>
    <xf numFmtId="1" fontId="71" fillId="0" borderId="7" xfId="0" applyAlignment="1" applyBorder="1" applyFont="1" applyNumberFormat="1" applyFill="1">
      <alignment horizontal="center" vertical="center"/>
    </xf>
    <xf numFmtId="1" fontId="38" fillId="0" borderId="12" xfId="0" applyAlignment="1" applyBorder="1" applyFont="1" applyNumberFormat="1" applyFill="1">
      <alignment horizontal="center" vertical="center"/>
    </xf>
    <xf numFmtId="1" fontId="0" fillId="0" borderId="12" xfId="0" applyAlignment="1" applyBorder="1" applyFont="1" applyNumberFormat="1" applyFill="1">
      <alignment horizontal="center"/>
    </xf>
    <xf numFmtId="1" fontId="0" fillId="0" borderId="11" xfId="0" applyAlignment="1" applyBorder="1" applyFont="1" applyNumberFormat="1" applyFill="1">
      <alignment horizontal="center"/>
    </xf>
    <xf numFmtId="0" fontId="70" fillId="0" borderId="9" xfId="0" applyAlignment="1" applyBorder="1" applyFont="1" applyFill="1">
      <alignment horizontal="center" vertical="center"/>
    </xf>
    <xf numFmtId="0" fontId="5" fillId="0" borderId="10" xfId="0" applyAlignment="1" applyBorder="1" applyFont="1">
      <alignment horizontal="center" vertical="center"/>
    </xf>
    <xf numFmtId="0" fontId="5" fillId="0" borderId="1" xfId="0" applyAlignment="1" applyBorder="1" applyFont="1">
      <alignment horizontal="center" vertical="center"/>
    </xf>
    <xf numFmtId="0" fontId="70" fillId="0" borderId="24" xfId="0" applyAlignment="1" applyBorder="1" applyFont="1" applyFill="1">
      <alignment horizontal="center" vertical="center"/>
    </xf>
    <xf numFmtId="0" fontId="5" fillId="0" borderId="22" xfId="0" applyAlignment="1" applyBorder="1" applyFont="1" applyFill="1">
      <alignment horizontal="center" vertical="center"/>
    </xf>
    <xf numFmtId="0" fontId="5" fillId="0" borderId="29" xfId="0" applyAlignment="1" applyBorder="1" applyFont="1" applyFill="1">
      <alignment horizontal="center"/>
    </xf>
    <xf numFmtId="0" fontId="2" fillId="0" borderId="0" xfId="0" applyAlignment="1" applyBorder="1" applyFont="1">
      <alignment vertical="center"/>
    </xf>
    <xf numFmtId="0" fontId="70" fillId="0" borderId="50" xfId="0" applyAlignment="1" applyBorder="1" applyFont="1" applyFill="1">
      <alignment horizontal="center" vertical="center"/>
    </xf>
    <xf numFmtId="0" fontId="70" fillId="0" borderId="51" xfId="0" applyAlignment="1" applyBorder="1" applyFont="1" applyFill="1">
      <alignment horizontal="center" vertical="center"/>
    </xf>
    <xf numFmtId="0" fontId="70" fillId="0" borderId="44" xfId="0" applyAlignment="1" applyBorder="1" applyFont="1" applyFill="1">
      <alignment horizontal="center" vertical="center"/>
    </xf>
    <xf numFmtId="1" fontId="11" fillId="2" borderId="4" xfId="0" applyAlignment="1" applyBorder="1" applyFont="1" applyNumberFormat="1" applyFill="1">
      <alignment horizontal="center" vertical="center"/>
    </xf>
    <xf numFmtId="0" fontId="11" fillId="2" borderId="2" xfId="0" applyAlignment="1" applyBorder="1" applyFont="1" applyFill="1">
      <alignment horizontal="center" vertical="center"/>
    </xf>
    <xf numFmtId="0" fontId="72" fillId="2" borderId="6" xfId="0" applyAlignment="1" applyBorder="1" applyFont="1" applyFill="1">
      <alignment horizontal="left" vertical="center" wrapText="1"/>
    </xf>
    <xf numFmtId="0" fontId="74" fillId="0" borderId="0" xfId="0" applyFont="1"/>
    <xf numFmtId="20" fontId="0" fillId="0" borderId="0" xfId="0" applyNumberFormat="1"/>
    <xf numFmtId="46" fontId="0" fillId="0" borderId="0" xfId="0" applyNumberFormat="1"/>
    <xf numFmtId="0" fontId="73" fillId="7" borderId="0" xfId="0" applyFont="1" applyFill="1"/>
    <xf numFmtId="0" fontId="75" fillId="0" borderId="0" xfId="0" applyFont="1"/>
    <xf numFmtId="0" fontId="73" fillId="0" borderId="0" xfId="0" applyAlignment="1" applyFont="1">
      <alignment horizontal="center" vertical="center"/>
    </xf>
    <xf numFmtId="0" fontId="0" fillId="7" borderId="6" xfId="0" applyAlignment="1" applyBorder="1" applyNumberFormat="1" applyFill="1">
      <alignment horizontal="center" vertical="center"/>
    </xf>
    <xf numFmtId="0" fontId="0" fillId="7" borderId="6" xfId="0" applyAlignment="1" applyBorder="1" applyFont="1" applyNumberFormat="1" applyFill="1">
      <alignment horizontal="center" vertical="center"/>
    </xf>
    <xf numFmtId="0" fontId="3" fillId="7" borderId="6" xfId="0" applyAlignment="1" applyBorder="1" applyFont="1" applyNumberFormat="1" applyFill="1">
      <alignment horizontal="center" vertical="center"/>
    </xf>
    <xf numFmtId="0" fontId="3" fillId="7" borderId="6" xfId="0" applyAlignment="1" applyBorder="1" applyFont="1" applyNumberFormat="1" applyFill="1">
      <alignment horizontal="center" vertical="center" wrapText="1"/>
    </xf>
    <xf numFmtId="0" fontId="0" fillId="7" borderId="6" xfId="0" applyAlignment="1" applyBorder="1" applyFont="1" applyNumberFormat="1" applyFill="1">
      <alignment vertical="center"/>
    </xf>
    <xf numFmtId="0" fontId="0" fillId="7" borderId="6" xfId="0" applyAlignment="1" applyBorder="1" applyFont="1" applyNumberFormat="1" applyFill="1">
      <alignment horizontal="right" vertical="center"/>
    </xf>
    <xf numFmtId="0" fontId="0" fillId="7" borderId="6" xfId="0" applyAlignment="1" applyBorder="1" applyFont="1" applyNumberFormat="1" applyFill="1">
      <alignment vertical="center" wrapText="1"/>
    </xf>
    <xf numFmtId="0" fontId="0" fillId="7" borderId="10" xfId="0" applyAlignment="1" applyBorder="1" applyFont="1" applyNumberFormat="1" applyFill="1">
      <alignment horizontal="center" vertical="center"/>
    </xf>
    <xf numFmtId="0" fontId="3" fillId="7" borderId="10" xfId="0" applyAlignment="1" applyBorder="1" applyFont="1" applyNumberFormat="1" applyFill="1">
      <alignment horizontal="center" vertical="center" wrapText="1"/>
    </xf>
    <xf numFmtId="0" fontId="0" fillId="0" borderId="0" xfId="0" applyNumberFormat="1"/>
    <xf numFmtId="0" fontId="0" fillId="7" borderId="7" xfId="0" applyAlignment="1" applyBorder="1" applyNumberFormat="1" applyFill="1">
      <alignment horizontal="center" vertical="center"/>
    </xf>
    <xf numFmtId="0" fontId="0" fillId="7" borderId="8" xfId="0" applyAlignment="1" applyBorder="1" applyNumberFormat="1" applyFill="1">
      <alignment horizontal="left" vertical="center"/>
    </xf>
    <xf numFmtId="0" fontId="0" fillId="7" borderId="8" xfId="0" applyAlignment="1" applyBorder="1" applyNumberFormat="1" applyFill="1">
      <alignment horizontal="center" vertical="center"/>
    </xf>
    <xf numFmtId="0" fontId="0" fillId="7" borderId="8" xfId="0" applyAlignment="1" applyBorder="1" applyFont="1" applyNumberFormat="1" applyFill="1">
      <alignment horizontal="center" vertical="center"/>
    </xf>
    <xf numFmtId="0" fontId="3" fillId="7" borderId="8" xfId="0" applyAlignment="1" applyBorder="1" applyFont="1" applyNumberFormat="1" applyFill="1">
      <alignment horizontal="center" vertical="center"/>
    </xf>
    <xf numFmtId="0" fontId="3" fillId="7" borderId="8" xfId="0" applyAlignment="1" applyBorder="1" applyFont="1" applyNumberFormat="1" applyFill="1">
      <alignment horizontal="center" vertical="center" wrapText="1"/>
    </xf>
    <xf numFmtId="0" fontId="0" fillId="7" borderId="8" xfId="0" applyAlignment="1" applyBorder="1" applyFont="1" applyNumberFormat="1" applyFill="1">
      <alignment vertical="center"/>
    </xf>
    <xf numFmtId="0" fontId="0" fillId="7" borderId="8" xfId="0" applyAlignment="1" applyBorder="1" applyFont="1" applyNumberFormat="1" applyFill="1">
      <alignment horizontal="right" vertical="center"/>
    </xf>
    <xf numFmtId="0" fontId="0" fillId="7" borderId="8" xfId="0" applyAlignment="1" applyBorder="1" applyFont="1" applyNumberFormat="1" applyFill="1">
      <alignment vertical="center" wrapText="1"/>
    </xf>
    <xf numFmtId="0" fontId="3" fillId="7" borderId="9" xfId="0" applyAlignment="1" applyBorder="1" applyFont="1" applyNumberFormat="1" applyFill="1">
      <alignment horizontal="center" vertical="center" wrapText="1"/>
    </xf>
    <xf numFmtId="0" fontId="0" fillId="7" borderId="12" xfId="0" applyAlignment="1" applyBorder="1" applyNumberFormat="1" applyFill="1">
      <alignment horizontal="center" vertical="center"/>
    </xf>
    <xf numFmtId="0" fontId="0" fillId="7" borderId="6" xfId="0" applyAlignment="1" applyBorder="1" applyNumberFormat="1" applyFill="1">
      <alignment horizontal="left" vertical="center"/>
    </xf>
    <xf numFmtId="0" fontId="0" fillId="7" borderId="12" xfId="0" applyAlignment="1" applyBorder="1" applyFont="1" applyNumberFormat="1" applyFill="1">
      <alignment horizontal="center" vertical="center"/>
    </xf>
    <xf numFmtId="0" fontId="0" fillId="7" borderId="6" xfId="0" applyAlignment="1" applyBorder="1" applyFont="1" applyNumberFormat="1" applyFill="1">
      <alignment horizontal="left" vertical="center"/>
    </xf>
    <xf numFmtId="0" fontId="13" fillId="0" borderId="0" xfId="0" applyFont="1" applyNumberFormat="1"/>
    <xf numFmtId="0" fontId="0" fillId="0" borderId="0" xfId="0" applyNumberFormat="1" applyFill="1"/>
    <xf numFmtId="0" fontId="0" fillId="3" borderId="0" xfId="0" applyNumberFormat="1" applyFill="1"/>
    <xf numFmtId="0" fontId="3" fillId="7" borderId="10" xfId="0" applyAlignment="1" applyBorder="1" applyFont="1" applyNumberFormat="1" applyFill="1">
      <alignment horizontal="center" vertical="center"/>
    </xf>
    <xf numFmtId="0" fontId="69" fillId="0" borderId="0" xfId="0" applyAlignment="1" applyFont="1" applyNumberFormat="1">
      <alignment horizontal="center" vertical="center"/>
    </xf>
    <xf numFmtId="0" fontId="0" fillId="7" borderId="11" xfId="0" applyAlignment="1" applyBorder="1" applyNumberFormat="1" applyFill="1">
      <alignment horizontal="center" vertical="center"/>
    </xf>
    <xf numFmtId="0" fontId="0" fillId="7" borderId="14" xfId="0" applyAlignment="1" applyBorder="1" applyNumberFormat="1" applyFill="1">
      <alignment horizontal="left" vertical="center"/>
    </xf>
    <xf numFmtId="0" fontId="0" fillId="7" borderId="14" xfId="0" applyAlignment="1" applyBorder="1" applyNumberFormat="1" applyFill="1">
      <alignment horizontal="center" vertical="center"/>
    </xf>
    <xf numFmtId="0" fontId="0" fillId="7" borderId="14" xfId="0" applyAlignment="1" applyBorder="1" applyFont="1" applyNumberFormat="1" applyFill="1">
      <alignment horizontal="center" vertical="center"/>
    </xf>
    <xf numFmtId="0" fontId="3" fillId="7" borderId="14" xfId="0" applyAlignment="1" applyBorder="1" applyFont="1" applyNumberFormat="1" applyFill="1">
      <alignment horizontal="center" vertical="center"/>
    </xf>
    <xf numFmtId="0" fontId="3" fillId="7" borderId="14" xfId="0" applyAlignment="1" applyBorder="1" applyFont="1" applyNumberFormat="1" applyFill="1">
      <alignment horizontal="center" vertical="center" wrapText="1"/>
    </xf>
    <xf numFmtId="0" fontId="3" fillId="7" borderId="1" xfId="0" applyAlignment="1" applyBorder="1" applyFont="1" applyNumberFormat="1" applyFill="1">
      <alignment horizontal="center" vertical="center"/>
    </xf>
    <xf numFmtId="2" fontId="17" fillId="0" borderId="19" xfId="0" applyAlignment="1" applyBorder="1" applyFont="1" applyNumberFormat="1" applyFill="1">
      <alignment horizontal="center" vertical="center"/>
    </xf>
    <xf numFmtId="0" fontId="14" fillId="0" borderId="0" xfId="0" applyAlignment="1" applyFont="1">
      <alignment horizontal="left" vertical="center" readingOrder="1"/>
    </xf>
    <xf numFmtId="0" fontId="13" fillId="0" borderId="0" xfId="0" applyAlignment="1" applyFont="1">
      <alignment vertical="center"/>
    </xf>
    <xf numFmtId="0" fontId="0" fillId="0" borderId="42" xfId="0" applyAlignment="1" applyBorder="1" applyFill="1">
      <alignment horizontal="center" vertical="center"/>
    </xf>
    <xf numFmtId="0" fontId="0" fillId="0" borderId="2" xfId="0" applyAlignment="1" applyBorder="1" applyFill="1">
      <alignment horizontal="center" vertical="center"/>
    </xf>
    <xf numFmtId="0" fontId="0" fillId="0" borderId="5" xfId="0" applyAlignment="1" applyBorder="1" applyFill="1">
      <alignment horizontal="center" vertical="center"/>
    </xf>
    <xf numFmtId="2" fontId="3" fillId="0" borderId="5" xfId="0" applyAlignment="1" applyBorder="1" applyFont="1" applyNumberFormat="1" applyFill="1">
      <alignment horizontal="center" vertical="center"/>
    </xf>
    <xf numFmtId="167" fontId="0" fillId="0" borderId="2" xfId="0" applyAlignment="1" applyBorder="1" applyFont="1" applyNumberFormat="1" applyFill="1">
      <alignment horizontal="center" vertical="center"/>
    </xf>
    <xf numFmtId="2" fontId="3" fillId="0" borderId="5" xfId="0" applyAlignment="1" applyBorder="1" applyFont="1" applyNumberFormat="1" applyFill="1">
      <alignment horizontal="center" vertical="center" wrapText="1"/>
    </xf>
    <xf numFmtId="2" fontId="3" fillId="0" borderId="2" xfId="0" applyAlignment="1" applyBorder="1" applyFont="1" applyNumberFormat="1" applyFill="1">
      <alignment horizontal="center" vertical="center" wrapText="1"/>
    </xf>
    <xf numFmtId="1" fontId="3" fillId="0" borderId="52" xfId="0" applyAlignment="1" applyBorder="1" applyFont="1" applyNumberFormat="1" applyFill="1">
      <alignment horizontal="center" vertical="center" wrapText="1"/>
    </xf>
    <xf numFmtId="1" fontId="3" fillId="0" borderId="2" xfId="0" applyAlignment="1" applyBorder="1" applyFont="1" applyNumberFormat="1" applyFill="1">
      <alignment horizontal="center" vertical="center" wrapText="1"/>
    </xf>
    <xf numFmtId="2" fontId="0" fillId="0" borderId="2" xfId="0" applyAlignment="1" applyBorder="1" applyFont="1" applyNumberFormat="1" applyFill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 applyBorder="1" applyFill="1">
      <alignment horizontal="left" vertical="center"/>
    </xf>
    <xf numFmtId="0" fontId="78" fillId="0" borderId="0" xfId="0" applyAlignment="1" applyFont="1">
      <alignment horizontal="left" vertical="center"/>
    </xf>
    <xf numFmtId="0" fontId="2" fillId="0" borderId="0" xfId="0" applyAlignment="1" applyFont="1">
      <alignment horizontal="left"/>
    </xf>
    <xf numFmtId="0" fontId="5" fillId="3" borderId="6" xfId="0" applyAlignment="1" applyBorder="1" applyFont="1" applyFill="1">
      <alignment horizontal="center" vertical="center"/>
    </xf>
    <xf numFmtId="0" fontId="0" fillId="6" borderId="6" xfId="0" applyAlignment="1" applyBorder="1" applyFill="1">
      <alignment horizontal="center" vertical="center"/>
    </xf>
    <xf numFmtId="2" fontId="0" fillId="6" borderId="6" xfId="0" applyAlignment="1" applyBorder="1" applyNumberFormat="1" applyFill="1">
      <alignment horizontal="center" vertical="center"/>
    </xf>
    <xf numFmtId="0" fontId="15" fillId="4" borderId="42" xfId="0" applyAlignment="1" applyBorder="1" applyFont="1" applyFill="1">
      <alignment vertical="center"/>
    </xf>
    <xf numFmtId="0" fontId="14" fillId="4" borderId="4" xfId="0" applyAlignment="1" applyBorder="1" applyFont="1" applyFill="1">
      <alignment vertical="center"/>
    </xf>
    <xf numFmtId="168" fontId="15" fillId="4" borderId="42" xfId="0" applyAlignment="1" applyBorder="1" applyFont="1" applyNumberFormat="1" applyFill="1">
      <alignment horizontal="left" vertical="center"/>
    </xf>
    <xf numFmtId="168" fontId="14" fillId="4" borderId="4" xfId="0" applyAlignment="1" applyBorder="1" applyFont="1" applyNumberFormat="1" applyFill="1">
      <alignment vertical="center"/>
    </xf>
    <xf numFmtId="1" fontId="15" fillId="4" borderId="42" xfId="0" applyAlignment="1" applyBorder="1" applyFont="1" applyNumberFormat="1" applyFill="1">
      <alignment horizontal="left" vertical="center"/>
    </xf>
    <xf numFmtId="0" fontId="15" fillId="4" borderId="2" xfId="0" applyAlignment="1" applyBorder="1" applyFont="1" applyFill="1">
      <alignment horizontal="center" vertical="center"/>
    </xf>
    <xf numFmtId="0" fontId="15" fillId="4" borderId="44" xfId="0" applyAlignment="1" applyBorder="1" applyFont="1" applyFill="1">
      <alignment horizontal="center" vertical="center"/>
    </xf>
    <xf numFmtId="2" fontId="62" fillId="0" borderId="8" xfId="0" applyAlignment="1" applyBorder="1" applyFont="1" applyNumberFormat="1">
      <alignment horizontal="center" vertical="center"/>
    </xf>
    <xf numFmtId="2" fontId="62" fillId="0" borderId="6" xfId="0" applyAlignment="1" applyBorder="1" applyFont="1" applyNumberFormat="1">
      <alignment horizontal="center" vertical="center"/>
    </xf>
    <xf numFmtId="0" fontId="0" fillId="4" borderId="37" xfId="0" applyAlignment="1" applyBorder="1" applyFill="1">
      <alignment horizontal="center" vertical="center"/>
    </xf>
    <xf numFmtId="0" fontId="8" fillId="0" borderId="0" xfId="0" applyAlignment="1" applyBorder="1" applyFont="1" applyFill="1">
      <alignment horizontal="center" vertical="center"/>
    </xf>
    <xf numFmtId="0" fontId="11" fillId="0" borderId="0" xfId="0" applyAlignment="1" applyBorder="1" applyFont="1" applyFill="1">
      <alignment horizontal="left" vertical="center"/>
    </xf>
    <xf numFmtId="1" fontId="15" fillId="0" borderId="0" xfId="0" applyAlignment="1" applyBorder="1" applyFont="1" applyNumberFormat="1" applyFill="1">
      <alignment horizontal="left" vertical="center"/>
    </xf>
    <xf numFmtId="168" fontId="14" fillId="0" borderId="0" xfId="0" applyAlignment="1" applyBorder="1" applyFont="1" applyNumberFormat="1" applyFill="1">
      <alignment vertical="center"/>
    </xf>
    <xf numFmtId="0" fontId="79" fillId="0" borderId="53" xfId="0" applyAlignment="1" applyBorder="1" applyFont="1" applyFill="1">
      <alignment horizontal="center" vertical="center"/>
    </xf>
    <xf numFmtId="0" fontId="79" fillId="0" borderId="54" xfId="0" applyAlignment="1" applyBorder="1" applyFont="1" applyFill="1">
      <alignment horizontal="center" vertical="center"/>
    </xf>
    <xf numFmtId="0" fontId="79" fillId="0" borderId="55" xfId="0" applyAlignment="1" applyBorder="1" applyFont="1" applyFill="1">
      <alignment horizontal="center" vertical="center"/>
    </xf>
    <xf numFmtId="0" fontId="79" fillId="0" borderId="56" xfId="0" applyAlignment="1" applyBorder="1" applyFont="1" applyFill="1">
      <alignment horizontal="center" vertical="center"/>
    </xf>
    <xf numFmtId="0" fontId="79" fillId="0" borderId="57" xfId="0" applyAlignment="1" applyBorder="1" applyFont="1" applyFill="1">
      <alignment horizontal="center" vertical="center"/>
    </xf>
    <xf numFmtId="0" fontId="79" fillId="0" borderId="58" xfId="0" applyAlignment="1" applyBorder="1" applyFont="1" applyFill="1">
      <alignment horizontal="center" vertical="center"/>
    </xf>
    <xf numFmtId="0" fontId="60" fillId="4" borderId="45" xfId="0" applyAlignment="1" applyBorder="1" applyFont="1" applyFill="1">
      <alignment horizontal="center" vertical="center"/>
    </xf>
    <xf numFmtId="0" fontId="0" fillId="8" borderId="0" xfId="0" applyFill="1"/>
    <xf numFmtId="0" fontId="0" fillId="8" borderId="0" xfId="0" applyNumberFormat="1" applyFill="1"/>
    <xf numFmtId="0" fontId="0" fillId="8" borderId="0" xfId="0" applyAlignment="1" applyFill="1">
      <alignment horizontal="center" vertical="center"/>
    </xf>
    <xf numFmtId="0" fontId="0" fillId="8" borderId="0" xfId="0" applyAlignment="1" applyFill="1">
      <alignment horizontal="left" vertical="center"/>
    </xf>
    <xf numFmtId="0" fontId="11" fillId="8" borderId="0" xfId="0" applyAlignment="1" applyBorder="1" applyFont="1" applyFill="1">
      <alignment horizontal="center" vertical="center" wrapText="1"/>
    </xf>
    <xf numFmtId="1" fontId="0" fillId="8" borderId="0" xfId="0" applyAlignment="1" applyBorder="1" applyFont="1" applyNumberFormat="1" applyFill="1">
      <alignment horizontal="center"/>
    </xf>
    <xf numFmtId="0" fontId="5" fillId="8" borderId="0" xfId="0" applyAlignment="1" applyBorder="1" applyFont="1" applyFill="1">
      <alignment horizontal="center" vertical="center"/>
    </xf>
    <xf numFmtId="0" fontId="0" fillId="8" borderId="0" xfId="0" applyAlignment="1" applyFill="1">
      <alignment vertical="center"/>
    </xf>
    <xf numFmtId="0" fontId="11" fillId="0" borderId="42" xfId="0" applyAlignment="1" applyBorder="1" applyFont="1">
      <alignment horizontal="left" vertical="center"/>
    </xf>
    <xf numFmtId="0" fontId="11" fillId="0" borderId="4" xfId="0" applyAlignment="1" applyBorder="1" applyFont="1">
      <alignment horizontal="left" vertical="center"/>
    </xf>
    <xf numFmtId="0" fontId="0" fillId="0" borderId="0" xfId="0" applyAlignment="1">
      <alignment horizontal="center"/>
    </xf>
    <xf numFmtId="0" fontId="0" fillId="0" borderId="11" xfId="0" applyAlignment="1" applyBorder="1" applyFill="1">
      <alignment horizontal="left" vertical="center"/>
    </xf>
    <xf numFmtId="0" fontId="0" fillId="0" borderId="14" xfId="0" applyAlignment="1" applyBorder="1" applyFill="1">
      <alignment horizontal="left" vertical="center"/>
    </xf>
    <xf numFmtId="0" fontId="0" fillId="2" borderId="43" xfId="0" applyAlignment="1" applyBorder="1" applyFill="1">
      <alignment horizontal="center" vertical="center" textRotation="90"/>
    </xf>
    <xf numFmtId="0" fontId="0" fillId="2" borderId="43" xfId="0" applyAlignment="1" applyBorder="1" applyFill="1">
      <alignment horizontal="center" vertical="center"/>
    </xf>
    <xf numFmtId="0" fontId="0" fillId="2" borderId="0" xfId="0" applyAlignment="1" applyBorder="1" applyFill="1">
      <alignment horizontal="center" vertical="center" wrapText="1"/>
    </xf>
    <xf numFmtId="0" fontId="0" fillId="2" borderId="43" xfId="0" applyAlignment="1" applyBorder="1" applyFill="1">
      <alignment horizontal="center" vertical="center" wrapText="1"/>
    </xf>
    <xf numFmtId="0" fontId="0" fillId="2" borderId="59" xfId="0" applyAlignment="1" applyBorder="1" applyFill="1">
      <alignment horizontal="center" vertical="center"/>
    </xf>
    <xf numFmtId="0" fontId="0" fillId="2" borderId="60" xfId="0" applyAlignment="1" applyBorder="1" applyFill="1">
      <alignment horizontal="center" vertical="center"/>
    </xf>
    <xf numFmtId="167" fontId="0" fillId="0" borderId="61" xfId="0" applyAlignment="1" applyBorder="1" applyFont="1" applyNumberFormat="1" applyFill="1">
      <alignment horizontal="center" vertical="center"/>
    </xf>
    <xf numFmtId="167" fontId="0" fillId="0" borderId="62" xfId="0" applyAlignment="1" applyBorder="1" applyFont="1" applyNumberFormat="1" applyFill="1">
      <alignment horizontal="center" vertical="center"/>
    </xf>
    <xf numFmtId="0" fontId="0" fillId="2" borderId="44" xfId="0" applyAlignment="1" applyBorder="1" applyFill="1">
      <alignment horizontal="center" vertical="center" wrapText="1"/>
    </xf>
    <xf numFmtId="0" fontId="33" fillId="0" borderId="0" xfId="0" applyAlignment="1" applyFont="1" applyNumberFormat="1">
      <alignment horizontal="center" vertical="center"/>
    </xf>
    <xf numFmtId="0" fontId="0" fillId="2" borderId="43" xfId="0" applyAlignment="1" applyBorder="1" applyFont="1" applyFill="1">
      <alignment horizontal="center" vertical="center" wrapText="1"/>
    </xf>
    <xf numFmtId="0" fontId="0" fillId="2" borderId="44" xfId="0" applyAlignment="1" applyBorder="1" applyFont="1" applyFill="1">
      <alignment horizontal="center" vertical="center"/>
    </xf>
    <xf numFmtId="0" fontId="0" fillId="2" borderId="36" xfId="0" applyAlignment="1" applyBorder="1" applyFill="1">
      <alignment horizontal="center" vertical="center" wrapText="1"/>
    </xf>
    <xf numFmtId="0" fontId="0" fillId="2" borderId="28" xfId="0" applyAlignment="1" applyBorder="1" applyFill="1">
      <alignment horizontal="center" vertical="center" wrapText="1"/>
    </xf>
    <xf numFmtId="0" fontId="0" fillId="2" borderId="63" xfId="0" applyAlignment="1" applyBorder="1" applyFill="1">
      <alignment horizontal="center" vertical="center" wrapText="1"/>
    </xf>
    <xf numFmtId="0" fontId="0" fillId="2" borderId="41" xfId="0" applyAlignment="1" applyBorder="1" applyFill="1">
      <alignment horizontal="center" vertical="center" wrapText="1"/>
    </xf>
    <xf numFmtId="0" fontId="0" fillId="2" borderId="3" xfId="0" applyAlignment="1" applyBorder="1" applyFill="1">
      <alignment horizontal="center" vertical="center" wrapText="1"/>
    </xf>
    <xf numFmtId="0" fontId="6" fillId="2" borderId="40" xfId="0" applyAlignment="1" applyBorder="1" applyFont="1" applyFill="1">
      <alignment horizontal="center" vertical="center"/>
    </xf>
    <xf numFmtId="0" fontId="6" fillId="2" borderId="37" xfId="0" applyAlignment="1" applyBorder="1" applyFont="1" applyFill="1">
      <alignment horizontal="center" vertical="center"/>
    </xf>
    <xf numFmtId="0" fontId="0" fillId="0" borderId="64" xfId="0" applyAlignment="1" applyBorder="1" applyFill="1">
      <alignment horizontal="left" vertical="center"/>
    </xf>
    <xf numFmtId="0" fontId="0" fillId="0" borderId="65" xfId="0" applyAlignment="1" applyBorder="1" applyFill="1">
      <alignment horizontal="left" vertical="center"/>
    </xf>
    <xf numFmtId="0" fontId="0" fillId="0" borderId="48" xfId="0" applyAlignment="1" applyBorder="1" applyFill="1">
      <alignment horizontal="left" vertical="center"/>
    </xf>
    <xf numFmtId="0" fontId="0" fillId="0" borderId="7" xfId="0" applyAlignment="1" applyBorder="1" applyFill="1">
      <alignment horizontal="left" vertical="center"/>
    </xf>
    <xf numFmtId="0" fontId="0" fillId="0" borderId="8" xfId="0" applyAlignment="1" applyBorder="1" applyFill="1">
      <alignment horizontal="left" vertical="center"/>
    </xf>
    <xf numFmtId="0" fontId="6" fillId="2" borderId="66" xfId="0" applyAlignment="1" applyBorder="1" applyFont="1" applyFill="1">
      <alignment horizontal="center" vertical="center"/>
    </xf>
    <xf numFmtId="0" fontId="6" fillId="2" borderId="33" xfId="0" applyAlignment="1" applyBorder="1" applyFont="1" applyFill="1">
      <alignment horizontal="center" vertical="center"/>
    </xf>
    <xf numFmtId="0" fontId="6" fillId="2" borderId="35" xfId="0" applyAlignment="1" applyBorder="1" applyFont="1" applyFill="1">
      <alignment horizontal="center" vertical="center"/>
    </xf>
    <xf numFmtId="0" fontId="0" fillId="2" borderId="67" xfId="0" applyAlignment="1" applyBorder="1" applyFill="1">
      <alignment horizontal="center" vertical="center"/>
    </xf>
    <xf numFmtId="0" fontId="0" fillId="2" borderId="68" xfId="0" applyAlignment="1" applyBorder="1" applyFill="1">
      <alignment horizontal="center" vertical="center"/>
    </xf>
    <xf numFmtId="0" fontId="0" fillId="2" borderId="23" xfId="0" applyAlignment="1" applyBorder="1" applyFill="1">
      <alignment horizontal="center" vertical="center"/>
    </xf>
    <xf numFmtId="0" fontId="0" fillId="2" borderId="69" xfId="0" applyAlignment="1" applyBorder="1" applyFill="1">
      <alignment horizontal="center" vertical="center"/>
    </xf>
    <xf numFmtId="0" fontId="0" fillId="2" borderId="32" xfId="0" applyAlignment="1" applyBorder="1" applyFill="1">
      <alignment horizontal="center" vertical="center"/>
    </xf>
    <xf numFmtId="0" fontId="80" fillId="4" borderId="42" xfId="0" applyAlignment="1" applyBorder="1" applyFont="1" applyFill="1">
      <alignment horizontal="center" vertical="center" wrapText="1"/>
    </xf>
    <xf numFmtId="0" fontId="80" fillId="4" borderId="4" xfId="0" applyAlignment="1" applyBorder="1" applyFont="1" applyFill="1">
      <alignment horizontal="center" vertical="center" wrapText="1"/>
    </xf>
    <xf numFmtId="0" fontId="11" fillId="2" borderId="34" xfId="0" applyAlignment="1" applyBorder="1" applyFont="1" applyFill="1">
      <alignment horizontal="center" vertical="center" wrapText="1"/>
    </xf>
    <xf numFmtId="0" fontId="11" fillId="2" borderId="43" xfId="0" applyAlignment="1" applyBorder="1" applyFont="1" applyFill="1">
      <alignment horizontal="center" vertical="center" wrapText="1"/>
    </xf>
    <xf numFmtId="0" fontId="11" fillId="2" borderId="44" xfId="0" applyAlignment="1" applyBorder="1" applyFont="1" applyFill="1">
      <alignment horizontal="center" vertical="center" wrapText="1"/>
    </xf>
    <xf numFmtId="0" fontId="5" fillId="2" borderId="34" xfId="0" applyAlignment="1" applyBorder="1" applyFont="1" applyFill="1">
      <alignment horizontal="center" vertical="center" wrapText="1"/>
    </xf>
    <xf numFmtId="0" fontId="5" fillId="2" borderId="44" xfId="0" applyAlignment="1" applyBorder="1" applyFont="1" applyFill="1">
      <alignment horizontal="center" vertical="center" wrapText="1"/>
    </xf>
    <xf numFmtId="0" fontId="2" fillId="6" borderId="66" xfId="0" applyAlignment="1" applyBorder="1" applyFont="1" applyFill="1">
      <alignment horizontal="center" vertical="center"/>
    </xf>
    <xf numFmtId="0" fontId="2" fillId="6" borderId="33" xfId="0" applyAlignment="1" applyBorder="1" applyFont="1" applyFill="1">
      <alignment horizontal="center" vertical="center"/>
    </xf>
    <xf numFmtId="0" fontId="2" fillId="6" borderId="35" xfId="0" applyAlignment="1" applyBorder="1" applyFont="1" applyFill="1">
      <alignment horizontal="center" vertical="center"/>
    </xf>
    <xf numFmtId="0" fontId="2" fillId="6" borderId="63" xfId="0" applyAlignment="1" applyBorder="1" applyFont="1" applyFill="1">
      <alignment horizontal="center" vertical="center"/>
    </xf>
    <xf numFmtId="0" fontId="2" fillId="6" borderId="41" xfId="0" applyAlignment="1" applyBorder="1" applyFont="1" applyFill="1">
      <alignment horizontal="center" vertical="center"/>
    </xf>
    <xf numFmtId="0" fontId="2" fillId="6" borderId="3" xfId="0" applyAlignment="1" applyBorder="1" applyFont="1" applyFill="1">
      <alignment horizontal="center" vertical="center"/>
    </xf>
    <xf numFmtId="0" fontId="14" fillId="0" borderId="70" xfId="0" applyAlignment="1" applyBorder="1" applyFont="1" applyFill="1">
      <alignment horizontal="left" vertical="center"/>
    </xf>
    <xf numFmtId="0" fontId="14" fillId="0" borderId="71" xfId="0" applyAlignment="1" applyBorder="1" applyFont="1" applyFill="1">
      <alignment horizontal="left" vertical="center"/>
    </xf>
    <xf numFmtId="0" fontId="15" fillId="6" borderId="42" xfId="0" applyAlignment="1" applyBorder="1" applyFont="1" applyFill="1">
      <alignment horizontal="center" vertical="center"/>
    </xf>
    <xf numFmtId="0" fontId="15" fillId="6" borderId="5" xfId="0" applyAlignment="1" applyBorder="1" applyFont="1" applyFill="1">
      <alignment horizontal="center" vertical="center"/>
    </xf>
    <xf numFmtId="0" fontId="15" fillId="6" borderId="72" xfId="0" applyAlignment="1" applyBorder="1" applyFont="1" applyFill="1">
      <alignment horizontal="center" vertical="center"/>
    </xf>
    <xf numFmtId="0" fontId="0" fillId="2" borderId="44" xfId="0" applyAlignment="1" applyBorder="1" applyFill="1">
      <alignment horizontal="center" vertical="center" textRotation="90"/>
    </xf>
    <xf numFmtId="0" fontId="0" fillId="2" borderId="44" xfId="0" applyAlignment="1" applyBorder="1" applyFill="1">
      <alignment horizontal="center" vertical="center"/>
    </xf>
    <xf numFmtId="0" fontId="2" fillId="6" borderId="73" xfId="0" applyAlignment="1" applyBorder="1" applyFont="1" applyFill="1">
      <alignment horizontal="center" vertical="center"/>
    </xf>
    <xf numFmtId="0" fontId="2" fillId="6" borderId="74" xfId="0" applyAlignment="1" applyBorder="1" applyFont="1" applyFill="1">
      <alignment horizontal="center" vertical="center"/>
    </xf>
    <xf numFmtId="0" fontId="2" fillId="6" borderId="75" xfId="0" applyAlignment="1" applyBorder="1" applyFont="1" applyFill="1">
      <alignment horizontal="center" vertical="center"/>
    </xf>
    <xf numFmtId="0" fontId="2" fillId="6" borderId="76" xfId="0" applyAlignment="1" applyBorder="1" applyFont="1" applyFill="1">
      <alignment horizontal="center" vertical="center"/>
    </xf>
    <xf numFmtId="0" fontId="2" fillId="6" borderId="77" xfId="0" applyAlignment="1" applyBorder="1" applyFont="1" applyFill="1">
      <alignment horizontal="center" vertical="center"/>
    </xf>
    <xf numFmtId="0" fontId="2" fillId="6" borderId="78" xfId="0" applyAlignment="1" applyBorder="1" applyFont="1" applyFill="1">
      <alignment horizontal="center" vertical="center"/>
    </xf>
    <xf numFmtId="0" fontId="44" fillId="9" borderId="42" xfId="0" applyAlignment="1" applyBorder="1" applyFont="1" applyFill="1">
      <alignment horizontal="center" vertical="center"/>
    </xf>
    <xf numFmtId="0" fontId="44" fillId="9" borderId="5" xfId="0" applyAlignment="1" applyBorder="1" applyFont="1" applyFill="1">
      <alignment horizontal="center" vertical="center"/>
    </xf>
    <xf numFmtId="0" fontId="44" fillId="9" borderId="4" xfId="0" applyAlignment="1" applyBorder="1" applyFont="1" applyFill="1">
      <alignment horizontal="center" vertical="center"/>
    </xf>
    <xf numFmtId="0" fontId="2" fillId="0" borderId="42" xfId="0" applyAlignment="1" applyBorder="1" applyFont="1">
      <alignment horizontal="left" vertical="center"/>
    </xf>
    <xf numFmtId="0" fontId="2" fillId="0" borderId="5" xfId="0" applyAlignment="1" applyBorder="1" applyFont="1">
      <alignment horizontal="left" vertical="center"/>
    </xf>
    <xf numFmtId="0" fontId="2" fillId="0" borderId="4" xfId="0" applyAlignment="1" applyBorder="1" applyFont="1">
      <alignment horizontal="left" vertical="center"/>
    </xf>
    <xf numFmtId="0" fontId="52" fillId="0" borderId="39" xfId="0" applyAlignment="1" applyBorder="1" applyFont="1">
      <alignment horizontal="center" vertical="center"/>
    </xf>
    <xf numFmtId="0" fontId="44" fillId="10" borderId="79" xfId="0" applyAlignment="1" applyBorder="1" applyFont="1" applyFill="1">
      <alignment horizontal="center" vertical="center"/>
    </xf>
    <xf numFmtId="0" fontId="44" fillId="10" borderId="80" xfId="0" applyAlignment="1" applyBorder="1" applyFont="1" applyFill="1">
      <alignment horizontal="center" vertical="center"/>
    </xf>
    <xf numFmtId="0" fontId="44" fillId="10" borderId="81" xfId="0" applyAlignment="1" applyBorder="1" applyFont="1" applyFill="1">
      <alignment horizontal="center" vertical="center"/>
    </xf>
    <xf numFmtId="0" fontId="68" fillId="0" borderId="39" xfId="0" applyAlignment="1" applyBorder="1" applyFont="1">
      <alignment horizontal="center" vertical="center"/>
    </xf>
    <xf numFmtId="0" fontId="44" fillId="9" borderId="79" xfId="0" applyAlignment="1" applyBorder="1" applyFont="1" applyFill="1">
      <alignment horizontal="center" vertical="center"/>
    </xf>
    <xf numFmtId="0" fontId="44" fillId="9" borderId="80" xfId="0" applyAlignment="1" applyBorder="1" applyFont="1" applyFill="1">
      <alignment horizontal="center" vertical="center"/>
    </xf>
    <xf numFmtId="0" fontId="44" fillId="9" borderId="81" xfId="0" applyAlignment="1" applyBorder="1" applyFont="1" applyFill="1">
      <alignment horizontal="center" vertical="center"/>
    </xf>
    <xf numFmtId="0" fontId="0" fillId="0" borderId="66" xfId="0" applyAlignment="1" applyBorder="1">
      <alignment horizontal="center" vertical="center"/>
    </xf>
    <xf numFmtId="0" fontId="0" fillId="0" borderId="35" xfId="0" applyAlignment="1" applyBorder="1">
      <alignment horizontal="center" vertical="center"/>
    </xf>
    <xf numFmtId="0" fontId="0" fillId="0" borderId="36" xfId="0" applyAlignment="1" applyBorder="1">
      <alignment horizontal="center" vertical="center"/>
    </xf>
    <xf numFmtId="0" fontId="0" fillId="0" borderId="28" xfId="0" applyAlignment="1" applyBorder="1">
      <alignment horizontal="center" vertical="center"/>
    </xf>
    <xf numFmtId="0" fontId="52" fillId="0" borderId="63" xfId="0" applyAlignment="1" applyBorder="1" applyFont="1">
      <alignment horizontal="center" vertical="center"/>
    </xf>
    <xf numFmtId="0" fontId="52" fillId="0" borderId="3" xfId="0" applyAlignment="1" applyBorder="1" applyFont="1">
      <alignment horizontal="center" vertical="center"/>
    </xf>
    <xf numFmtId="0" fontId="60" fillId="6" borderId="42" xfId="0" applyAlignment="1" applyBorder="1" applyFont="1" applyFill="1">
      <alignment horizontal="left" vertical="center"/>
    </xf>
    <xf numFmtId="0" fontId="60" fillId="6" borderId="5" xfId="0" applyAlignment="1" applyBorder="1" applyFont="1" applyFill="1">
      <alignment horizontal="left" vertical="center"/>
    </xf>
    <xf numFmtId="0" fontId="60" fillId="6" borderId="4" xfId="0" applyAlignment="1" applyBorder="1" applyFont="1" applyFill="1">
      <alignment horizontal="left" vertical="center"/>
    </xf>
    <xf numFmtId="0" fontId="63" fillId="0" borderId="22" xfId="0" applyAlignment="1" applyBorder="1" applyFont="1" applyFill="1">
      <alignment horizontal="center" vertical="center"/>
    </xf>
    <xf numFmtId="0" fontId="63" fillId="0" borderId="46" xfId="0" applyAlignment="1" applyBorder="1" applyFont="1" applyFill="1">
      <alignment horizontal="center" vertical="center"/>
    </xf>
    <xf numFmtId="0" fontId="65" fillId="8" borderId="42" xfId="0" applyAlignment="1" applyBorder="1" applyFont="1" applyFill="1">
      <alignment horizontal="center" vertical="center"/>
    </xf>
    <xf numFmtId="0" fontId="65" fillId="8" borderId="5" xfId="0" applyAlignment="1" applyBorder="1" applyFont="1" applyFill="1">
      <alignment horizontal="center" vertical="center"/>
    </xf>
    <xf numFmtId="0" fontId="65" fillId="8" borderId="4" xfId="0" applyAlignment="1" applyBorder="1" applyFont="1" applyFill="1">
      <alignment horizontal="center" vertical="center"/>
    </xf>
    <xf numFmtId="0" fontId="44" fillId="0" borderId="0" xfId="0" applyAlignment="1" applyFont="1">
      <alignment horizontal="left" vertical="center" wrapText="1"/>
    </xf>
    <xf numFmtId="0" fontId="49" fillId="0" borderId="0" xfId="0" applyAlignment="1" applyFont="1">
      <alignment horizontal="justify" vertical="center" wrapText="1"/>
    </xf>
    <xf numFmtId="0" fontId="50" fillId="0" borderId="0" xfId="0" applyAlignment="1" applyFont="1">
      <alignment vertical="center" wrapText="1"/>
    </xf>
    <xf numFmtId="0" fontId="49" fillId="6" borderId="22" xfId="0" applyAlignment="1" applyBorder="1" applyFont="1" applyFill="1">
      <alignment horizontal="center" vertical="center"/>
    </xf>
    <xf numFmtId="0" fontId="49" fillId="6" borderId="82" xfId="0" applyAlignment="1" applyBorder="1" applyFont="1" applyFill="1">
      <alignment horizontal="center" vertical="center"/>
    </xf>
    <xf numFmtId="0" fontId="49" fillId="6" borderId="46" xfId="0" applyAlignment="1" applyBorder="1" applyFont="1" applyFill="1">
      <alignment horizontal="center" vertical="center"/>
    </xf>
    <xf numFmtId="0" fontId="39" fillId="6" borderId="66" xfId="0" applyAlignment="1" applyBorder="1" applyFont="1" applyFill="1">
      <alignment horizontal="center" vertical="center"/>
    </xf>
    <xf numFmtId="0" fontId="39" fillId="6" borderId="33" xfId="0" applyAlignment="1" applyBorder="1" applyFont="1" applyFill="1">
      <alignment horizontal="center" vertical="center"/>
    </xf>
    <xf numFmtId="0" fontId="39" fillId="6" borderId="35" xfId="0" applyAlignment="1" applyBorder="1" applyFont="1" applyFill="1">
      <alignment horizontal="center" vertical="center"/>
    </xf>
    <xf numFmtId="0" fontId="39" fillId="6" borderId="36" xfId="0" applyAlignment="1" applyBorder="1" applyFont="1" applyFill="1">
      <alignment horizontal="center" vertical="center"/>
    </xf>
    <xf numFmtId="0" fontId="39" fillId="6" borderId="0" xfId="0" applyAlignment="1" applyFont="1" applyFill="1">
      <alignment horizontal="center" vertical="center"/>
    </xf>
    <xf numFmtId="0" fontId="39" fillId="6" borderId="28" xfId="0" applyAlignment="1" applyBorder="1" applyFont="1" applyFill="1">
      <alignment horizontal="center" vertical="center"/>
    </xf>
    <xf numFmtId="0" fontId="39" fillId="6" borderId="63" xfId="0" applyAlignment="1" applyBorder="1" applyFont="1" applyFill="1">
      <alignment horizontal="center" vertical="center"/>
    </xf>
    <xf numFmtId="0" fontId="39" fillId="6" borderId="41" xfId="0" applyAlignment="1" applyBorder="1" applyFont="1" applyFill="1">
      <alignment horizontal="center" vertical="center"/>
    </xf>
    <xf numFmtId="0" fontId="39" fillId="6" borderId="3" xfId="0" applyAlignment="1" applyBorder="1" applyFont="1" applyFill="1">
      <alignment horizontal="center" vertical="center"/>
    </xf>
    <xf numFmtId="0" fontId="38" fillId="0" borderId="8" xfId="0" applyAlignment="1" applyBorder="1" applyFont="1">
      <alignment horizontal="center" vertical="center"/>
    </xf>
    <xf numFmtId="0" fontId="38" fillId="0" borderId="9" xfId="0" applyAlignment="1" applyBorder="1" applyFont="1">
      <alignment horizontal="center" vertical="center"/>
    </xf>
    <xf numFmtId="0" fontId="38" fillId="0" borderId="14" xfId="0" applyAlignment="1" applyBorder="1" applyFont="1">
      <alignment horizontal="center" vertical="center"/>
    </xf>
    <xf numFmtId="0" fontId="38" fillId="0" borderId="1" xfId="0" applyAlignment="1" applyBorder="1" applyFont="1">
      <alignment horizontal="center" vertical="center"/>
    </xf>
    <xf numFmtId="0" fontId="43" fillId="6" borderId="42" xfId="0" applyAlignment="1" applyBorder="1" applyFont="1" applyFill="1">
      <alignment horizontal="left" vertical="center"/>
    </xf>
    <xf numFmtId="0" fontId="43" fillId="6" borderId="5" xfId="0" applyAlignment="1" applyBorder="1" applyFont="1" applyFill="1">
      <alignment horizontal="left" vertical="center"/>
    </xf>
    <xf numFmtId="0" fontId="43" fillId="6" borderId="4" xfId="0" applyAlignment="1" applyBorder="1" applyFont="1" applyFill="1">
      <alignment horizontal="left" vertical="center"/>
    </xf>
    <xf numFmtId="0" fontId="44" fillId="3" borderId="42" xfId="0" applyAlignment="1" applyBorder="1" applyFont="1" applyFill="1">
      <alignment horizontal="left" vertical="center"/>
    </xf>
    <xf numFmtId="0" fontId="44" fillId="3" borderId="72" xfId="0" applyAlignment="1" applyBorder="1" applyFont="1" applyFill="1">
      <alignment horizontal="left" vertical="center"/>
    </xf>
    <xf numFmtId="0" fontId="44" fillId="5" borderId="42" xfId="0" applyAlignment="1" applyBorder="1" applyFont="1" applyFill="1">
      <alignment horizontal="left" vertical="center"/>
    </xf>
    <xf numFmtId="0" fontId="44" fillId="5" borderId="72" xfId="0" applyAlignment="1" applyBorder="1" applyFont="1" applyFill="1">
      <alignment horizontal="left" vertical="center"/>
    </xf>
    <xf numFmtId="0" fontId="5" fillId="2" borderId="14" xfId="0" applyAlignment="1" applyBorder="1" applyFont="1" applyFill="1">
      <alignment horizontal="center" vertical="center"/>
    </xf>
    <xf numFmtId="0" fontId="5" fillId="2" borderId="1" xfId="0" applyAlignment="1" applyBorder="1" applyFont="1" applyFill="1">
      <alignment horizontal="center" vertical="center"/>
    </xf>
    <xf numFmtId="1" fontId="0" fillId="0" borderId="18" xfId="0" applyAlignment="1" applyBorder="1" applyNumberFormat="1">
      <alignment horizontal="center" vertical="center"/>
    </xf>
    <xf numFmtId="0" fontId="0" fillId="0" borderId="19" xfId="0" applyAlignment="1" applyBorder="1">
      <alignment horizontal="center" vertical="center"/>
    </xf>
    <xf numFmtId="166" fontId="0" fillId="0" borderId="31" xfId="0" applyAlignment="1" applyBorder="1" applyNumberFormat="1">
      <alignment horizontal="center" vertical="center"/>
    </xf>
    <xf numFmtId="166" fontId="0" fillId="0" borderId="41" xfId="0" applyAlignment="1" applyBorder="1" applyNumberFormat="1">
      <alignment horizontal="center" vertical="center"/>
    </xf>
    <xf numFmtId="166" fontId="0" fillId="0" borderId="3" xfId="0" applyAlignment="1" applyBorder="1" applyNumberFormat="1">
      <alignment horizontal="center" vertical="center"/>
    </xf>
    <xf numFmtId="0" fontId="5" fillId="2" borderId="40" xfId="0" applyAlignment="1" applyBorder="1" applyFont="1" applyFill="1">
      <alignment horizontal="center" vertical="center"/>
    </xf>
    <xf numFmtId="0" fontId="5" fillId="2" borderId="37" xfId="0" applyAlignment="1" applyBorder="1" applyFont="1" applyFill="1">
      <alignment horizontal="center" vertical="center"/>
    </xf>
    <xf numFmtId="166" fontId="0" fillId="0" borderId="22" xfId="0" applyAlignment="1" applyBorder="1" applyNumberFormat="1">
      <alignment horizontal="center" vertical="center"/>
    </xf>
    <xf numFmtId="166" fontId="0" fillId="0" borderId="82" xfId="0" applyAlignment="1" applyBorder="1" applyNumberFormat="1">
      <alignment horizontal="center" vertical="center"/>
    </xf>
    <xf numFmtId="166" fontId="0" fillId="0" borderId="26" xfId="0" applyAlignment="1" applyBorder="1" applyNumberFormat="1">
      <alignment horizontal="center" vertical="center"/>
    </xf>
    <xf numFmtId="0" fontId="0" fillId="0" borderId="18" xfId="0" applyAlignment="1" applyBorder="1">
      <alignment horizontal="center" vertical="center"/>
    </xf>
    <xf numFmtId="0" fontId="21" fillId="0" borderId="83" xfId="0" applyAlignment="1" applyBorder="1" applyFont="1">
      <alignment horizontal="center" vertical="center"/>
    </xf>
    <xf numFmtId="0" fontId="21" fillId="0" borderId="84" xfId="0" applyAlignment="1" applyBorder="1" applyFont="1">
      <alignment horizontal="center" vertical="center"/>
    </xf>
    <xf numFmtId="0" fontId="21" fillId="0" borderId="27" xfId="0" applyAlignment="1" applyBorder="1" applyFont="1">
      <alignment horizontal="center" vertical="center"/>
    </xf>
    <xf numFmtId="0" fontId="21" fillId="0" borderId="36" xfId="0" applyAlignment="1" applyBorder="1" applyFont="1">
      <alignment horizontal="center" vertical="center"/>
    </xf>
    <xf numFmtId="0" fontId="21" fillId="0" borderId="0" xfId="0" applyAlignment="1" applyFont="1">
      <alignment horizontal="center" vertical="center"/>
    </xf>
    <xf numFmtId="0" fontId="21" fillId="0" borderId="28" xfId="0" applyAlignment="1" applyBorder="1" applyFont="1">
      <alignment horizontal="center" vertical="center"/>
    </xf>
    <xf numFmtId="0" fontId="21" fillId="0" borderId="63" xfId="0" applyAlignment="1" applyBorder="1" applyFont="1">
      <alignment horizontal="center" vertical="center"/>
    </xf>
    <xf numFmtId="0" fontId="21" fillId="0" borderId="41" xfId="0" applyAlignment="1" applyBorder="1" applyFont="1">
      <alignment horizontal="center" vertical="center"/>
    </xf>
    <xf numFmtId="0" fontId="21" fillId="0" borderId="3" xfId="0" applyAlignment="1" applyBorder="1" applyFont="1">
      <alignment horizontal="center" vertical="center"/>
    </xf>
    <xf numFmtId="0" fontId="21" fillId="0" borderId="7" xfId="0" applyAlignment="1" applyBorder="1" applyFont="1">
      <alignment horizontal="center" vertical="center"/>
    </xf>
    <xf numFmtId="0" fontId="21" fillId="0" borderId="8" xfId="0" applyAlignment="1" applyBorder="1" applyFont="1">
      <alignment horizontal="center" vertical="center"/>
    </xf>
    <xf numFmtId="0" fontId="21" fillId="0" borderId="13" xfId="0" applyAlignment="1" applyBorder="1" applyFont="1">
      <alignment horizontal="center" vertical="center"/>
    </xf>
    <xf numFmtId="0" fontId="21" fillId="0" borderId="49" xfId="0" applyAlignment="1" applyBorder="1" applyFont="1">
      <alignment horizontal="center" vertical="center"/>
    </xf>
    <xf numFmtId="0" fontId="2" fillId="0" borderId="67" xfId="0" applyAlignment="1" applyBorder="1" applyFont="1">
      <alignment horizontal="center" vertical="center" wrapText="1"/>
    </xf>
    <xf numFmtId="0" fontId="2" fillId="0" borderId="68" xfId="0" applyAlignment="1" applyBorder="1" applyFont="1">
      <alignment horizontal="center" vertical="center" wrapText="1"/>
    </xf>
    <xf numFmtId="0" fontId="2" fillId="0" borderId="71" xfId="0" applyAlignment="1" applyBorder="1" applyFont="1">
      <alignment horizontal="center" vertical="center" wrapText="1"/>
    </xf>
    <xf numFmtId="0" fontId="19" fillId="0" borderId="8" xfId="0" applyAlignment="1" applyBorder="1" applyFont="1">
      <alignment horizontal="center" wrapText="1"/>
    </xf>
    <xf numFmtId="0" fontId="11" fillId="0" borderId="8" xfId="0" applyAlignment="1" applyBorder="1" applyFont="1">
      <alignment horizontal="center" wrapText="1"/>
    </xf>
    <xf numFmtId="0" fontId="11" fillId="0" borderId="9" xfId="0" applyAlignment="1" applyBorder="1" applyFont="1">
      <alignment horizontal="center" wrapText="1"/>
    </xf>
    <xf numFmtId="0" fontId="11" fillId="0" borderId="6" xfId="0" applyAlignment="1" applyBorder="1" applyFont="1">
      <alignment horizontal="center" wrapText="1"/>
    </xf>
    <xf numFmtId="0" fontId="11" fillId="0" borderId="10" xfId="0" applyAlignment="1" applyBorder="1" applyFont="1">
      <alignment horizontal="center" wrapText="1"/>
    </xf>
    <xf numFmtId="0" fontId="20" fillId="0" borderId="6" xfId="0" applyAlignment="1" applyBorder="1" applyFont="1">
      <alignment horizontal="center" vertical="center"/>
    </xf>
    <xf numFmtId="0" fontId="0" fillId="0" borderId="85" xfId="0" applyAlignment="1" applyBorder="1">
      <alignment horizontal="left" vertical="center"/>
    </xf>
    <xf numFmtId="0" fontId="0" fillId="0" borderId="82" xfId="0" applyAlignment="1" applyBorder="1">
      <alignment horizontal="left" vertical="center"/>
    </xf>
    <xf numFmtId="0" fontId="0" fillId="0" borderId="46" xfId="0" applyAlignment="1" applyBorder="1">
      <alignment horizontal="left" vertical="center"/>
    </xf>
    <xf numFmtId="0" fontId="0" fillId="0" borderId="22" xfId="0" applyAlignment="1" applyBorder="1">
      <alignment horizontal="left" vertical="center"/>
    </xf>
    <xf numFmtId="165" fontId="0" fillId="0" borderId="46" xfId="0" applyAlignment="1" applyBorder="1" applyNumberFormat="1">
      <alignment horizontal="center" vertical="center"/>
    </xf>
    <xf numFmtId="165" fontId="0" fillId="0" borderId="6" xfId="0" applyAlignment="1" applyBorder="1" applyNumberFormat="1">
      <alignment horizontal="center" vertical="center"/>
    </xf>
    <xf numFmtId="1" fontId="0" fillId="0" borderId="46" xfId="0" applyAlignment="1" applyBorder="1" applyNumberFormat="1">
      <alignment horizontal="center" vertical="center"/>
    </xf>
    <xf numFmtId="0" fontId="22" fillId="0" borderId="6" xfId="0" applyAlignment="1" applyBorder="1" applyFont="1">
      <alignment horizontal="left" vertical="center"/>
    </xf>
    <xf numFmtId="0" fontId="34" fillId="0" borderId="6" xfId="0" applyAlignment="1" applyBorder="1" applyFont="1">
      <alignment horizontal="center" vertical="center"/>
    </xf>
    <xf numFmtId="0" fontId="14" fillId="11" borderId="6" xfId="0" applyAlignment="1" applyBorder="1" applyFont="1" applyFill="1">
      <alignment horizontal="center" vertical="center" wrapText="1"/>
    </xf>
    <xf numFmtId="0" fontId="14" fillId="11" borderId="10" xfId="0" applyAlignment="1" applyBorder="1" applyFont="1" applyFill="1">
      <alignment horizontal="center" vertical="center" wrapText="1"/>
    </xf>
    <xf numFmtId="0" fontId="13" fillId="0" borderId="46" xfId="0" applyAlignment="1" applyBorder="1" applyFont="1">
      <alignment horizontal="left" vertical="center"/>
    </xf>
    <xf numFmtId="0" fontId="13" fillId="0" borderId="6" xfId="0" applyAlignment="1" applyBorder="1" applyFont="1">
      <alignment horizontal="left" vertical="center"/>
    </xf>
    <xf numFmtId="0" fontId="14" fillId="11" borderId="22" xfId="0" applyAlignment="1" applyBorder="1" applyFont="1" applyFill="1">
      <alignment horizontal="center" vertical="center" wrapText="1"/>
    </xf>
    <xf numFmtId="0" fontId="14" fillId="11" borderId="82" xfId="0" applyAlignment="1" applyBorder="1" applyFont="1" applyFill="1">
      <alignment horizontal="center" vertical="center" wrapText="1"/>
    </xf>
    <xf numFmtId="0" fontId="14" fillId="11" borderId="26" xfId="0" applyAlignment="1" applyBorder="1" applyFont="1" applyFill="1">
      <alignment horizontal="center" vertical="center" wrapText="1"/>
    </xf>
    <xf numFmtId="0" fontId="22" fillId="0" borderId="6" xfId="0" applyAlignment="1" applyBorder="1" applyFont="1">
      <alignment horizontal="center" vertical="center"/>
    </xf>
    <xf numFmtId="0" fontId="22" fillId="0" borderId="10" xfId="0" applyAlignment="1" applyBorder="1" applyFont="1">
      <alignment horizontal="center" vertical="center"/>
    </xf>
    <xf numFmtId="0" fontId="22" fillId="0" borderId="46" xfId="0" applyAlignment="1" applyBorder="1" applyFont="1">
      <alignment horizontal="left" vertical="center"/>
    </xf>
    <xf numFmtId="0" fontId="35" fillId="0" borderId="6" xfId="0" applyAlignment="1" applyBorder="1" applyFont="1">
      <alignment horizontal="center" vertical="center"/>
    </xf>
    <xf numFmtId="0" fontId="35" fillId="0" borderId="10" xfId="0" applyAlignment="1" applyBorder="1" applyFont="1">
      <alignment horizontal="center" vertical="center"/>
    </xf>
    <xf numFmtId="0" fontId="23" fillId="0" borderId="19" xfId="0" applyAlignment="1" applyBorder="1" applyFont="1">
      <alignment horizontal="center" vertical="center"/>
    </xf>
    <xf numFmtId="0" fontId="35" fillId="0" borderId="19" xfId="0" applyAlignment="1" applyBorder="1" applyFont="1">
      <alignment horizontal="center" vertical="center"/>
    </xf>
    <xf numFmtId="0" fontId="35" fillId="0" borderId="15" xfId="0" applyAlignment="1" applyBorder="1" applyFont="1">
      <alignment horizontal="center" vertical="center"/>
    </xf>
    <xf numFmtId="0" fontId="5" fillId="2" borderId="20" xfId="0" applyAlignment="1" applyBorder="1" applyFont="1" applyFill="1">
      <alignment horizontal="center" vertical="center"/>
    </xf>
    <xf numFmtId="0" fontId="76" fillId="0" borderId="38" xfId="0" applyAlignment="1" applyBorder="1" applyFont="1">
      <alignment horizontal="left" vertical="center" wrapText="1"/>
    </xf>
    <xf numFmtId="0" fontId="76" fillId="0" borderId="5" xfId="0" applyAlignment="1" applyBorder="1" applyFont="1">
      <alignment horizontal="left" vertical="center" wrapText="1"/>
    </xf>
    <xf numFmtId="0" fontId="76" fillId="0" borderId="4" xfId="0" applyAlignment="1" applyBorder="1" applyFont="1">
      <alignment horizontal="left" vertical="center" wrapText="1"/>
    </xf>
    <xf numFmtId="0" fontId="22" fillId="0" borderId="19" xfId="0" applyAlignment="1" applyBorder="1" applyFont="1">
      <alignment horizontal="left" vertical="center"/>
    </xf>
    <xf numFmtId="0" fontId="34" fillId="0" borderId="19" xfId="0" applyAlignment="1" applyBorder="1" applyFont="1">
      <alignment horizontal="center" vertical="center"/>
    </xf>
    <xf numFmtId="0" fontId="22" fillId="0" borderId="19" xfId="0" applyAlignment="1" applyBorder="1" applyFont="1">
      <alignment horizontal="center" vertical="center"/>
    </xf>
    <xf numFmtId="0" fontId="22" fillId="0" borderId="15" xfId="0" applyAlignment="1" applyBorder="1" applyFont="1">
      <alignment horizontal="center" vertical="center"/>
    </xf>
    <xf numFmtId="0" fontId="22" fillId="0" borderId="47" xfId="0" applyAlignment="1" applyBorder="1" applyFont="1">
      <alignment horizontal="left" vertical="center"/>
    </xf>
    <xf numFmtId="0" fontId="0" fillId="0" borderId="24" xfId="0" applyAlignment="1" applyBorder="1">
      <alignment horizontal="center" vertical="center"/>
    </xf>
    <xf numFmtId="0" fontId="0" fillId="0" borderId="65" xfId="0" applyAlignment="1" applyBorder="1">
      <alignment horizontal="center" vertical="center"/>
    </xf>
    <xf numFmtId="0" fontId="0" fillId="0" borderId="48" xfId="0" applyAlignment="1" applyBorder="1">
      <alignment horizontal="center" vertical="center"/>
    </xf>
    <xf numFmtId="0" fontId="0" fillId="0" borderId="13" xfId="0" applyAlignment="1" applyBorder="1">
      <alignment horizontal="center" vertical="center"/>
    </xf>
    <xf numFmtId="0" fontId="0" fillId="0" borderId="49" xfId="0" applyAlignment="1" applyBorder="1">
      <alignment horizontal="center" vertical="center"/>
    </xf>
    <xf numFmtId="2" fontId="37" fillId="0" borderId="22" xfId="0" applyAlignment="1" applyBorder="1" applyFont="1" applyNumberFormat="1">
      <alignment horizontal="center" vertical="center" wrapText="1"/>
    </xf>
    <xf numFmtId="0" fontId="37" fillId="0" borderId="82" xfId="0" applyAlignment="1" applyBorder="1" applyFont="1">
      <alignment horizontal="center" vertical="center" wrapText="1"/>
    </xf>
    <xf numFmtId="0" fontId="37" fillId="0" borderId="26" xfId="0" applyAlignment="1" applyBorder="1" applyFont="1">
      <alignment horizontal="center" vertical="center" wrapText="1"/>
    </xf>
    <xf numFmtId="0" fontId="13" fillId="11" borderId="46" xfId="0" applyAlignment="1" applyBorder="1" applyFont="1" applyFill="1">
      <alignment horizontal="left" vertical="center" wrapText="1"/>
    </xf>
    <xf numFmtId="0" fontId="13" fillId="11" borderId="6" xfId="0" applyAlignment="1" applyBorder="1" applyFont="1" applyFill="1">
      <alignment horizontal="left" vertical="center" wrapText="1"/>
    </xf>
    <xf numFmtId="0" fontId="37" fillId="0" borderId="22" xfId="0" applyAlignment="1" applyBorder="1" applyFont="1">
      <alignment horizontal="center" vertical="center" wrapText="1"/>
    </xf>
    <xf numFmtId="2" fontId="37" fillId="0" borderId="19" xfId="0" applyAlignment="1" applyBorder="1" applyFont="1" applyNumberFormat="1">
      <alignment horizontal="center" vertical="center" wrapText="1"/>
    </xf>
    <xf numFmtId="0" fontId="37" fillId="0" borderId="19" xfId="0" applyAlignment="1" applyBorder="1" applyFont="1">
      <alignment horizontal="center" vertical="center" wrapText="1"/>
    </xf>
    <xf numFmtId="0" fontId="37" fillId="0" borderId="15" xfId="0" applyAlignment="1" applyBorder="1" applyFont="1">
      <alignment horizontal="center" vertical="center" wrapText="1"/>
    </xf>
    <xf numFmtId="0" fontId="13" fillId="11" borderId="47" xfId="0" applyAlignment="1" applyBorder="1" applyFont="1" applyFill="1">
      <alignment horizontal="left" vertical="center" wrapText="1"/>
    </xf>
    <xf numFmtId="0" fontId="13" fillId="11" borderId="19" xfId="0" applyAlignment="1" applyBorder="1" applyFont="1" applyFill="1">
      <alignment horizontal="left" vertical="center" wrapText="1"/>
    </xf>
    <xf numFmtId="0" fontId="13" fillId="11" borderId="86" xfId="0" applyAlignment="1" applyBorder="1" applyFont="1" applyFill="1">
      <alignment horizontal="left" vertical="center" wrapText="1"/>
    </xf>
    <xf numFmtId="0" fontId="37" fillId="0" borderId="29" xfId="0" applyAlignment="1" applyBorder="1" applyFont="1">
      <alignment horizontal="center" vertical="center" wrapText="1"/>
    </xf>
    <xf numFmtId="0" fontId="37" fillId="0" borderId="87" xfId="0" applyAlignment="1" applyBorder="1" applyFont="1">
      <alignment horizontal="center" vertical="center" wrapText="1"/>
    </xf>
    <xf numFmtId="0" fontId="37" fillId="0" borderId="30" xfId="0" applyAlignment="1" applyBorder="1" applyFont="1">
      <alignment horizontal="center" vertical="center" wrapText="1"/>
    </xf>
    <xf numFmtId="2" fontId="37" fillId="0" borderId="6" xfId="0" applyAlignment="1" applyBorder="1" applyFont="1" applyNumberFormat="1">
      <alignment horizontal="center" vertical="center" wrapText="1"/>
    </xf>
    <xf numFmtId="0" fontId="37" fillId="0" borderId="6" xfId="0" applyAlignment="1" applyBorder="1" applyFont="1">
      <alignment horizontal="center" vertical="center"/>
    </xf>
    <xf numFmtId="0" fontId="37" fillId="0" borderId="10" xfId="0" applyAlignment="1" applyBorder="1" applyFont="1">
      <alignment horizontal="center" vertical="center"/>
    </xf>
    <xf numFmtId="1" fontId="37" fillId="11" borderId="6" xfId="0" applyAlignment="1" applyBorder="1" applyFont="1" applyNumberFormat="1" applyFill="1">
      <alignment horizontal="center" vertical="center" wrapText="1"/>
    </xf>
    <xf numFmtId="1" fontId="37" fillId="11" borderId="10" xfId="0" applyAlignment="1" applyBorder="1" applyFont="1" applyNumberFormat="1" applyFill="1">
      <alignment horizontal="center" vertical="center" wrapText="1"/>
    </xf>
    <xf numFmtId="1" fontId="37" fillId="0" borderId="82" xfId="0" applyAlignment="1" applyBorder="1" applyFont="1" applyNumberFormat="1">
      <alignment horizontal="left" vertical="center" wrapText="1"/>
    </xf>
    <xf numFmtId="0" fontId="37" fillId="0" borderId="82" xfId="0" applyAlignment="1" applyBorder="1" applyFont="1">
      <alignment horizontal="left" vertical="center" wrapText="1"/>
    </xf>
    <xf numFmtId="0" fontId="37" fillId="0" borderId="26" xfId="0" applyAlignment="1" applyBorder="1" applyFont="1">
      <alignment horizontal="left" vertical="center" wrapText="1"/>
    </xf>
    <xf numFmtId="0" fontId="37" fillId="0" borderId="22" xfId="0" applyAlignment="1" applyBorder="1" applyFont="1">
      <alignment horizontal="right" vertical="center" wrapText="1"/>
    </xf>
    <xf numFmtId="0" fontId="37" fillId="0" borderId="82" xfId="0" applyAlignment="1" applyBorder="1" applyFont="1">
      <alignment horizontal="right" vertical="center" wrapText="1"/>
    </xf>
    <xf numFmtId="0" fontId="22" fillId="0" borderId="13" xfId="0" applyAlignment="1" applyBorder="1" applyFont="1">
      <alignment horizontal="left" vertical="center"/>
    </xf>
    <xf numFmtId="0" fontId="37" fillId="11" borderId="13" xfId="0" applyAlignment="1" applyBorder="1" applyFont="1" applyFill="1">
      <alignment horizontal="center" vertical="center"/>
    </xf>
    <xf numFmtId="0" fontId="37" fillId="11" borderId="49" xfId="0" applyAlignment="1" applyBorder="1" applyFont="1" applyFill="1">
      <alignment horizontal="center" vertical="center"/>
    </xf>
    <xf numFmtId="0" fontId="13" fillId="11" borderId="48" xfId="0" applyAlignment="1" applyBorder="1" applyFont="1" applyFill="1">
      <alignment horizontal="left" vertical="center" wrapText="1"/>
    </xf>
    <xf numFmtId="0" fontId="13" fillId="11" borderId="13" xfId="0" applyAlignment="1" applyBorder="1" applyFont="1" applyFill="1">
      <alignment horizontal="left" vertical="center" wrapText="1"/>
    </xf>
    <xf numFmtId="0" fontId="32" fillId="11" borderId="13" xfId="0" applyAlignment="1" applyBorder="1" applyFont="1" applyFill="1">
      <alignment horizontal="center" vertical="center" wrapText="1"/>
    </xf>
    <xf numFmtId="0" fontId="32" fillId="11" borderId="49" xfId="0" applyAlignment="1" applyBorder="1" applyFont="1" applyFill="1">
      <alignment horizontal="center" vertical="center" wrapText="1"/>
    </xf>
    <xf numFmtId="0" fontId="37" fillId="11" borderId="6" xfId="0" applyAlignment="1" applyBorder="1" applyFont="1" applyFill="1">
      <alignment horizontal="center" vertical="center"/>
    </xf>
    <xf numFmtId="0" fontId="37" fillId="11" borderId="10" xfId="0" applyAlignment="1" applyBorder="1" applyFont="1" applyFill="1">
      <alignment horizontal="center" vertical="center"/>
    </xf>
    <xf numFmtId="0" fontId="33" fillId="11" borderId="46" xfId="0" applyAlignment="1" applyBorder="1" applyFont="1" applyFill="1">
      <alignment horizontal="left" vertical="center" wrapText="1"/>
    </xf>
    <xf numFmtId="0" fontId="33" fillId="11" borderId="6" xfId="0" applyAlignment="1" applyBorder="1" applyFont="1" applyFill="1">
      <alignment horizontal="left" vertical="center" wrapText="1"/>
    </xf>
    <xf numFmtId="0" fontId="32" fillId="11" borderId="6" xfId="0" applyAlignment="1" applyBorder="1" applyFont="1" applyFill="1">
      <alignment horizontal="center" vertical="center" wrapText="1"/>
    </xf>
    <xf numFmtId="0" fontId="32" fillId="11" borderId="10" xfId="0" applyAlignment="1" applyBorder="1" applyFont="1" applyFill="1">
      <alignment horizontal="center" vertical="center" wrapText="1"/>
    </xf>
    <xf numFmtId="0" fontId="22" fillId="0" borderId="14" xfId="0" applyAlignment="1" applyBorder="1" applyFont="1">
      <alignment horizontal="left" vertical="center"/>
    </xf>
    <xf numFmtId="0" fontId="30" fillId="0" borderId="87" xfId="0" applyAlignment="1" applyBorder="1" applyFont="1">
      <alignment horizontal="left" vertical="center"/>
    </xf>
    <xf numFmtId="0" fontId="30" fillId="0" borderId="17" xfId="0" applyAlignment="1" applyBorder="1" applyFont="1">
      <alignment horizontal="left" vertical="center"/>
    </xf>
    <xf numFmtId="0" fontId="22" fillId="0" borderId="17" xfId="0" applyAlignment="1" applyBorder="1" applyFont="1">
      <alignment horizontal="left" vertical="center"/>
    </xf>
    <xf numFmtId="0" fontId="30" fillId="0" borderId="82" xfId="0" applyAlignment="1" applyBorder="1" applyFont="1">
      <alignment horizontal="left" vertical="center"/>
    </xf>
    <xf numFmtId="0" fontId="30" fillId="0" borderId="46" xfId="0" applyAlignment="1" applyBorder="1" applyFont="1">
      <alignment horizontal="left" vertical="center"/>
    </xf>
    <xf numFmtId="0" fontId="30" fillId="0" borderId="82" xfId="0" applyAlignment="1" applyBorder="1" applyFont="1">
      <alignment horizontal="center" vertical="center"/>
    </xf>
    <xf numFmtId="0" fontId="31" fillId="0" borderId="82" xfId="0" applyAlignment="1" applyBorder="1" applyFont="1">
      <alignment horizontal="center" vertical="center"/>
    </xf>
    <xf numFmtId="0" fontId="31" fillId="0" borderId="46" xfId="0" applyAlignment="1" applyBorder="1" applyFont="1">
      <alignment horizontal="center" vertical="center"/>
    </xf>
    <xf numFmtId="0" fontId="31" fillId="0" borderId="65" xfId="0" applyAlignment="1" applyBorder="1" applyFont="1">
      <alignment horizontal="center" vertical="center"/>
    </xf>
    <xf numFmtId="0" fontId="31" fillId="0" borderId="48" xfId="0" applyAlignment="1" applyBorder="1" applyFont="1">
      <alignment horizontal="center" vertical="center"/>
    </xf>
    <xf numFmtId="0" fontId="30" fillId="0" borderId="68" xfId="0" applyAlignment="1" applyBorder="1" applyFont="1">
      <alignment horizontal="left" vertical="center"/>
    </xf>
    <xf numFmtId="0" fontId="30" fillId="0" borderId="68" xfId="0" applyAlignment="1" applyBorder="1" applyFont="1">
      <alignment horizontal="center" vertical="center"/>
    </xf>
    <xf numFmtId="0" fontId="30" fillId="0" borderId="71" xfId="0" applyAlignment="1" applyBorder="1" applyFont="1">
      <alignment horizontal="center" vertical="center"/>
    </xf>
    <xf numFmtId="0" fontId="22" fillId="0" borderId="48" xfId="0" applyAlignment="1" applyBorder="1" applyFont="1">
      <alignment horizontal="left" vertical="center"/>
    </xf>
    <xf numFmtId="0" fontId="31" fillId="0" borderId="68" xfId="0" applyAlignment="1" applyBorder="1" applyFont="1">
      <alignment horizontal="center" vertical="center"/>
    </xf>
    <xf numFmtId="0" fontId="31" fillId="0" borderId="71" xfId="0" applyAlignment="1" applyBorder="1" applyFont="1">
      <alignment horizontal="center" vertical="center"/>
    </xf>
    <xf numFmtId="2" fontId="36" fillId="11" borderId="6" xfId="0" applyAlignment="1" applyBorder="1" applyFont="1" applyNumberFormat="1" applyFill="1">
      <alignment horizontal="center" vertical="center" wrapText="1"/>
    </xf>
    <xf numFmtId="0" fontId="36" fillId="11" borderId="10" xfId="0" applyAlignment="1" applyBorder="1" applyFont="1" applyFill="1">
      <alignment horizontal="center" vertical="center" wrapText="1"/>
    </xf>
    <xf numFmtId="0" fontId="22" fillId="0" borderId="29" xfId="0" applyAlignment="1" applyBorder="1" applyFont="1">
      <alignment horizontal="left" vertical="center" wrapText="1"/>
    </xf>
    <xf numFmtId="0" fontId="22" fillId="0" borderId="87" xfId="0" applyAlignment="1" applyBorder="1" applyFont="1">
      <alignment horizontal="left" vertical="center" wrapText="1"/>
    </xf>
    <xf numFmtId="0" fontId="22" fillId="0" borderId="17" xfId="0" applyAlignment="1" applyBorder="1" applyFont="1">
      <alignment horizontal="left" vertical="center" wrapText="1"/>
    </xf>
    <xf numFmtId="49" fontId="14" fillId="0" borderId="6" xfId="0" applyAlignment="1" applyBorder="1" applyFont="1" applyNumberFormat="1">
      <alignment horizontal="center" vertical="center"/>
    </xf>
    <xf numFmtId="49" fontId="14" fillId="0" borderId="10" xfId="0" applyAlignment="1" applyBorder="1" applyFont="1" applyNumberFormat="1">
      <alignment horizontal="center" vertical="center"/>
    </xf>
    <xf numFmtId="0" fontId="13" fillId="11" borderId="46" xfId="0" applyAlignment="1" applyBorder="1" applyFont="1" applyFill="1">
      <alignment horizontal="left" vertical="center"/>
    </xf>
    <xf numFmtId="0" fontId="13" fillId="11" borderId="6" xfId="0" applyAlignment="1" applyBorder="1" applyFont="1" applyFill="1">
      <alignment horizontal="left" vertical="center"/>
    </xf>
    <xf numFmtId="2" fontId="36" fillId="11" borderId="6" xfId="0" applyAlignment="1" applyBorder="1" applyFont="1" applyNumberFormat="1" applyFill="1">
      <alignment horizontal="center" vertical="center"/>
    </xf>
    <xf numFmtId="0" fontId="36" fillId="11" borderId="6" xfId="0" applyAlignment="1" applyBorder="1" applyFont="1" applyFill="1">
      <alignment horizontal="center" vertical="center"/>
    </xf>
    <xf numFmtId="2" fontId="36" fillId="0" borderId="6" xfId="0" applyAlignment="1" applyBorder="1" applyFont="1" applyNumberFormat="1">
      <alignment horizontal="center" vertical="center"/>
    </xf>
    <xf numFmtId="0" fontId="36" fillId="0" borderId="6" xfId="0" applyAlignment="1" applyBorder="1" applyFont="1">
      <alignment horizontal="center" vertical="center"/>
    </xf>
    <xf numFmtId="0" fontId="77" fillId="0" borderId="6" xfId="0" applyAlignment="1" applyBorder="1" applyFont="1">
      <alignment horizontal="left" vertical="center" wrapText="1"/>
    </xf>
    <xf numFmtId="164" fontId="36" fillId="11" borderId="13" xfId="0" applyAlignment="1" applyBorder="1" applyFont="1" applyNumberFormat="1" applyFill="1">
      <alignment horizontal="center" vertical="center"/>
    </xf>
    <xf numFmtId="164" fontId="36" fillId="11" borderId="49" xfId="0" applyAlignment="1" applyBorder="1" applyFont="1" applyNumberFormat="1" applyFill="1">
      <alignment horizontal="center" vertical="center"/>
    </xf>
    <xf numFmtId="0" fontId="5" fillId="2" borderId="72" xfId="0" applyAlignment="1" applyBorder="1" applyFont="1" applyFill="1">
      <alignment horizontal="center" vertical="center"/>
    </xf>
    <xf numFmtId="2" fontId="36" fillId="11" borderId="13" xfId="0" applyAlignment="1" applyBorder="1" applyFont="1" applyNumberFormat="1" applyFill="1">
      <alignment horizontal="center" vertical="center"/>
    </xf>
    <xf numFmtId="2" fontId="36" fillId="11" borderId="49" xfId="0" applyAlignment="1" applyBorder="1" applyFont="1" applyNumberFormat="1" applyFill="1">
      <alignment horizontal="center" vertical="center"/>
    </xf>
    <xf numFmtId="0" fontId="13" fillId="0" borderId="70" xfId="0" applyAlignment="1" applyBorder="1" applyFont="1">
      <alignment horizontal="left" vertical="center"/>
    </xf>
    <xf numFmtId="0" fontId="13" fillId="0" borderId="68" xfId="0" applyAlignment="1" applyBorder="1" applyFont="1">
      <alignment horizontal="left" vertical="center"/>
    </xf>
    <xf numFmtId="0" fontId="13" fillId="0" borderId="71" xfId="0" applyAlignment="1" applyBorder="1" applyFont="1">
      <alignment horizontal="left" vertical="center"/>
    </xf>
    <xf numFmtId="0" fontId="13" fillId="0" borderId="13" xfId="0" applyAlignment="1" applyBorder="1" applyFont="1">
      <alignment horizontal="center" vertical="center"/>
    </xf>
    <xf numFmtId="0" fontId="13" fillId="0" borderId="49" xfId="0" applyAlignment="1" applyBorder="1" applyFont="1">
      <alignment horizontal="center" vertical="center"/>
    </xf>
    <xf numFmtId="0" fontId="14" fillId="0" borderId="19" xfId="0" applyAlignment="1" applyBorder="1" applyFont="1">
      <alignment horizontal="center" vertical="center"/>
    </xf>
    <xf numFmtId="0" fontId="14" fillId="0" borderId="15" xfId="0" applyAlignment="1" applyBorder="1" applyFont="1">
      <alignment horizontal="center" vertical="center"/>
    </xf>
    <xf numFmtId="0" fontId="13" fillId="0" borderId="82" xfId="0" applyAlignment="1" applyBorder="1" applyFont="1">
      <alignment horizontal="left" vertical="center"/>
    </xf>
    <xf numFmtId="0" fontId="14" fillId="0" borderId="6" xfId="0" applyAlignment="1" applyBorder="1" applyFont="1">
      <alignment horizontal="center" vertical="center"/>
    </xf>
    <xf numFmtId="0" fontId="14" fillId="0" borderId="10" xfId="0" applyAlignment="1" applyBorder="1" applyFont="1">
      <alignment horizontal="center" vertical="center"/>
    </xf>
    <xf numFmtId="0" fontId="13" fillId="0" borderId="84" xfId="0" applyAlignment="1" applyBorder="1" applyFont="1">
      <alignment horizontal="left" vertical="center"/>
    </xf>
    <xf numFmtId="0" fontId="13" fillId="0" borderId="47" xfId="0" applyAlignment="1" applyBorder="1" applyFont="1">
      <alignment horizontal="left" vertical="center"/>
    </xf>
    <xf numFmtId="0" fontId="36" fillId="0" borderId="13" xfId="0" applyAlignment="1" applyBorder="1" applyFont="1">
      <alignment horizontal="center" vertical="center"/>
    </xf>
    <xf numFmtId="0" fontId="36" fillId="0" borderId="49" xfId="0" applyAlignment="1" applyBorder="1" applyFont="1">
      <alignment horizontal="center" vertical="center"/>
    </xf>
    <xf numFmtId="0" fontId="13" fillId="0" borderId="65" xfId="0" applyAlignment="1" applyBorder="1" applyFont="1">
      <alignment horizontal="left" vertical="center"/>
    </xf>
    <xf numFmtId="0" fontId="13" fillId="0" borderId="48" xfId="0" applyAlignment="1" applyBorder="1" applyFont="1">
      <alignment horizontal="left" vertical="center"/>
    </xf>
    <xf numFmtId="2" fontId="36" fillId="0" borderId="10" xfId="0" applyAlignment="1" applyBorder="1" applyFont="1" applyNumberFormat="1">
      <alignment horizontal="center" vertical="center"/>
    </xf>
    <xf numFmtId="0" fontId="14" fillId="0" borderId="14" xfId="0" applyAlignment="1" applyBorder="1" applyFont="1">
      <alignment horizontal="center" vertical="center"/>
    </xf>
    <xf numFmtId="0" fontId="14" fillId="0" borderId="1" xfId="0" applyAlignment="1" applyBorder="1" applyFont="1">
      <alignment horizontal="center" vertical="center"/>
    </xf>
    <xf numFmtId="0" fontId="0" fillId="0" borderId="47" xfId="0" applyAlignment="1" applyBorder="1">
      <alignment horizontal="left" vertical="center"/>
    </xf>
    <xf numFmtId="0" fontId="0" fillId="0" borderId="19" xfId="0" applyAlignment="1" applyBorder="1">
      <alignment horizontal="left" vertical="center"/>
    </xf>
    <xf numFmtId="0" fontId="36" fillId="11" borderId="10" xfId="0" applyAlignment="1" applyBorder="1" applyFont="1" applyFill="1">
      <alignment horizontal="center" vertical="center"/>
    </xf>
    <xf numFmtId="0" fontId="36" fillId="0" borderId="10" xfId="0" applyAlignment="1" applyBorder="1" applyFont="1">
      <alignment horizontal="center" vertical="center"/>
    </xf>
    <xf numFmtId="0" fontId="14" fillId="11" borderId="6" xfId="0" applyAlignment="1" applyBorder="1" applyFont="1" applyFill="1">
      <alignment horizontal="center" vertical="center"/>
    </xf>
    <xf numFmtId="0" fontId="14" fillId="11" borderId="10" xfId="0" applyAlignment="1" applyBorder="1" applyFont="1" applyFill="1">
      <alignment horizontal="center" vertical="center"/>
    </xf>
    <xf numFmtId="49" fontId="36" fillId="0" borderId="82" xfId="0" applyAlignment="1" applyBorder="1" applyFont="1" applyNumberFormat="1">
      <alignment horizontal="left" vertical="center"/>
    </xf>
    <xf numFmtId="49" fontId="36" fillId="0" borderId="26" xfId="0" applyAlignment="1" applyBorder="1" applyFont="1" applyNumberFormat="1">
      <alignment horizontal="left" vertical="center"/>
    </xf>
    <xf numFmtId="1" fontId="36" fillId="0" borderId="22" xfId="0" applyAlignment="1" applyBorder="1" applyFont="1" applyNumberFormat="1" applyFill="1">
      <alignment horizontal="right" vertical="center"/>
    </xf>
    <xf numFmtId="1" fontId="36" fillId="0" borderId="82" xfId="0" applyAlignment="1" applyBorder="1" applyFont="1" applyNumberFormat="1" applyFill="1">
      <alignment horizontal="right" vertical="center"/>
    </xf>
    <xf numFmtId="1" fontId="36" fillId="0" borderId="88" xfId="0" applyAlignment="1" applyBorder="1" applyFont="1" applyNumberFormat="1" applyFill="1">
      <alignment horizontal="right" vertical="center"/>
    </xf>
    <xf numFmtId="0" fontId="14" fillId="0" borderId="13" xfId="0" applyAlignment="1" applyBorder="1" applyFont="1">
      <alignment horizontal="center" vertical="center"/>
    </xf>
    <xf numFmtId="0" fontId="14" fillId="0" borderId="49" xfId="0" applyAlignment="1" applyBorder="1" applyFont="1">
      <alignment horizontal="center" vertical="center"/>
    </xf>
    <xf numFmtId="0" fontId="13" fillId="0" borderId="13" xfId="0" applyAlignment="1" applyBorder="1" applyFont="1">
      <alignment horizontal="left" vertical="center"/>
    </xf>
    <xf numFmtId="0" fontId="36" fillId="0" borderId="6" xfId="0" applyAlignment="1" applyBorder="1" applyFont="1" applyFill="1">
      <alignment horizontal="center" vertical="center"/>
    </xf>
    <xf numFmtId="0" fontId="36" fillId="0" borderId="10" xfId="0" applyAlignment="1" applyBorder="1" applyFont="1" applyFill="1">
      <alignment horizontal="center" vertical="center"/>
    </xf>
    <xf numFmtId="0" fontId="14" fillId="0" borderId="82" xfId="0" applyAlignment="1" applyBorder="1" applyFont="1">
      <alignment horizontal="left" vertical="center"/>
    </xf>
    <xf numFmtId="0" fontId="14" fillId="0" borderId="26" xfId="0" applyAlignment="1" applyBorder="1" applyFont="1">
      <alignment horizontal="left" vertical="center"/>
    </xf>
    <xf numFmtId="2" fontId="36" fillId="0" borderId="22" xfId="0" applyAlignment="1" applyBorder="1" applyFont="1" applyNumberFormat="1">
      <alignment horizontal="right" vertical="center"/>
    </xf>
    <xf numFmtId="2" fontId="36" fillId="0" borderId="82" xfId="0" applyAlignment="1" applyBorder="1" applyFont="1" applyNumberFormat="1">
      <alignment horizontal="right" vertical="center"/>
    </xf>
    <xf numFmtId="2" fontId="36" fillId="0" borderId="88" xfId="0" applyAlignment="1" applyBorder="1" applyFont="1" applyNumberFormat="1">
      <alignment horizontal="right" vertical="center"/>
    </xf>
    <xf numFmtId="0" fontId="14" fillId="0" borderId="22" xfId="0" applyAlignment="1" applyBorder="1" applyFont="1">
      <alignment horizontal="center" vertical="center"/>
    </xf>
    <xf numFmtId="0" fontId="13" fillId="11" borderId="12" xfId="0" applyAlignment="1" applyBorder="1" applyFont="1" applyFill="1">
      <alignment horizontal="left" vertical="center"/>
    </xf>
    <xf numFmtId="0" fontId="22" fillId="0" borderId="10" xfId="0" applyAlignment="1" applyBorder="1" applyFont="1">
      <alignment horizontal="left" vertical="center"/>
    </xf>
    <xf numFmtId="0" fontId="36" fillId="11" borderId="22" xfId="0" applyAlignment="1" applyBorder="1" applyFont="1" applyFill="1">
      <alignment horizontal="center" vertical="center"/>
    </xf>
    <xf numFmtId="0" fontId="13" fillId="0" borderId="12" xfId="0" applyAlignment="1" applyBorder="1" applyFont="1">
      <alignment horizontal="left" vertical="center"/>
    </xf>
    <xf numFmtId="1" fontId="0" fillId="0" borderId="0" xfId="0" applyAlignment="1" applyNumberFormat="1">
      <alignment horizontal="center" vertical="center"/>
    </xf>
    <xf numFmtId="0" fontId="14" fillId="0" borderId="24" xfId="0" applyAlignment="1" applyBorder="1" applyFont="1">
      <alignment horizontal="center" vertical="center"/>
    </xf>
    <xf numFmtId="0" fontId="13" fillId="0" borderId="21" xfId="0" applyAlignment="1" applyBorder="1" applyFont="1">
      <alignment horizontal="left" vertical="center"/>
    </xf>
    <xf numFmtId="0" fontId="22" fillId="0" borderId="49" xfId="0" applyAlignment="1" applyBorder="1" applyFont="1">
      <alignment horizontal="left" vertical="center"/>
    </xf>
    <xf numFmtId="0" fontId="2" fillId="0" borderId="8" xfId="0" applyAlignment="1" applyBorder="1" applyFont="1">
      <alignment horizontal="center" vertical="center" wrapText="1"/>
    </xf>
    <xf numFmtId="0" fontId="0" fillId="0" borderId="89" xfId="0" applyAlignment="1" applyBorder="1">
      <alignment horizontal="left" vertical="center"/>
    </xf>
    <xf numFmtId="0" fontId="0" fillId="0" borderId="87" xfId="0" applyAlignment="1" applyBorder="1">
      <alignment horizontal="left" vertical="center"/>
    </xf>
    <xf numFmtId="0" fontId="0" fillId="0" borderId="17" xfId="0" applyAlignment="1" applyBorder="1">
      <alignment horizontal="left" vertical="center"/>
    </xf>
    <xf numFmtId="0" fontId="0" fillId="0" borderId="29" xfId="0" applyAlignment="1" applyBorder="1">
      <alignment horizontal="left" vertical="center"/>
    </xf>
    <xf numFmtId="166" fontId="0" fillId="0" borderId="87" xfId="0" applyAlignment="1" applyBorder="1" applyNumberFormat="1">
      <alignment horizontal="center" vertical="center"/>
    </xf>
    <xf numFmtId="166" fontId="0" fillId="0" borderId="17" xfId="0" applyAlignment="1" applyBorder="1" applyNumberFormat="1">
      <alignment horizontal="center" vertical="center"/>
    </xf>
    <xf numFmtId="1" fontId="0" fillId="0" borderId="47" xfId="0" applyAlignment="1" applyBorder="1" applyNumberFormat="1">
      <alignment horizontal="center" vertical="center"/>
    </xf>
    <xf numFmtId="0" fontId="0" fillId="0" borderId="15" xfId="0" applyAlignment="1" applyBorder="1">
      <alignment horizontal="center" vertical="center"/>
    </xf>
    <xf numFmtId="0" fontId="36" fillId="0" borderId="29" xfId="0" applyAlignment="1" applyBorder="1" applyFont="1">
      <alignment horizontal="center" vertical="center"/>
    </xf>
    <xf numFmtId="0" fontId="36" fillId="0" borderId="87" xfId="0" applyAlignment="1" applyBorder="1" applyFont="1">
      <alignment horizontal="center" vertical="center"/>
    </xf>
    <xf numFmtId="0" fontId="36" fillId="0" borderId="30" xfId="0" applyAlignment="1" applyBorder="1" applyFont="1">
      <alignment horizontal="center" vertical="center"/>
    </xf>
    <xf numFmtId="0" fontId="13" fillId="0" borderId="18" xfId="0" applyAlignment="1" applyBorder="1" applyFont="1">
      <alignment horizontal="left" vertical="center"/>
    </xf>
    <xf numFmtId="0" fontId="13" fillId="0" borderId="19" xfId="0" applyAlignment="1" applyBorder="1" applyFont="1">
      <alignment horizontal="left" vertical="center"/>
    </xf>
    <xf numFmtId="0" fontId="82" fillId="0" borderId="0" xfId="0" applyFont="1"/>
  </cellXfs>
  <cellStyles count="1">
    <cellStyle name="Normal" xfId="0" builtinId="0"/>
  </cellStyles>
  <dxfs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2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66628</xdr:colOff>
      <xdr:row>0</xdr:row>
      <xdr:rowOff>160972</xdr:rowOff>
    </xdr:from>
    <xdr:to>
      <xdr:col>8</xdr:col>
      <xdr:colOff>106747</xdr:colOff>
      <xdr:row>1</xdr:row>
      <xdr:rowOff>120015</xdr:rowOff>
    </xdr:to>
    <xdr:pic macro="">
      <xdr:nvPicPr>
        <x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6E6E9DD3-F72E-4A73-830A-AAE32BA9FC6B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66675" y="160020"/>
          <a:ext cx="1503155" cy="1503155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57122</xdr:colOff>
      <xdr:row>0</xdr:row>
      <xdr:rowOff>230505</xdr:rowOff>
    </xdr:from>
    <xdr:to>
      <xdr:col>8</xdr:col>
      <xdr:colOff>159990</xdr:colOff>
      <xdr:row>1</xdr:row>
      <xdr:rowOff>68580</xdr:rowOff>
    </xdr:to>
    <xdr:pic macro="">
      <xdr:nvPicPr>
        <x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9556A861-7AE6-4810-B06D-1D5DF11171D9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57065" y="231915"/>
          <a:ext cx="1718365" cy="1718365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A112"/>
  <sheetViews>
    <sheetView zoomScale="85" view="pageBreakPreview" workbookViewId="0">
      <selection pane="topLeft" activeCell="I48" sqref="I48"/>
    </sheetView>
  </sheetViews>
  <sheetFormatPr defaultRowHeight="15"/>
  <cols>
    <col min="1" max="1" width="8.41796875" customWidth="1"/>
    <col min="2" max="3" width="15.7109375" customWidth="1"/>
    <col min="4" max="4" width="24.27734375" customWidth="1"/>
    <col min="5" max="5" width="14.27734375" customWidth="1"/>
    <col min="6" max="6" width="14.84765625" customWidth="1"/>
    <col min="7" max="7" width="16.41796875" customWidth="1"/>
    <col min="8" max="8" width="25.5703125" customWidth="1"/>
    <col min="9" max="9" width="16.7109375" customWidth="1"/>
    <col min="10" max="10" width="17.7109375" customWidth="1"/>
    <col min="11" max="11" width="15.7109375" customWidth="1"/>
    <col min="12" max="12" width="8.27734375" customWidth="1"/>
    <col min="13" max="13" width="19.84765625" customWidth="1"/>
    <col min="14" max="14" width="10.41796875" customWidth="1"/>
    <col min="15" max="15" width="8.84765625" customWidth="1"/>
    <col min="16" max="17" width="10.7109375" customWidth="1"/>
    <col min="18" max="18" width="5.7109375" customWidth="1"/>
  </cols>
  <sheetData>
    <row r="1" ht="26.45" customHeight="1" thickBot="1"/>
    <row r="2" spans="2:5" ht="25.15" customHeight="1" thickBot="1">
      <c r="B2" s="297" t="s">
        <v>440</v>
      </c>
      <c r="C2" s="298"/>
      <c r="D2" s="268" t="s">
        <v>137</v>
      </c>
      <c r="E2" s="269"/>
    </row>
    <row r="3" spans="2:5" ht="25.15" customHeight="1" thickBot="1">
      <c r="B3" s="297" t="s">
        <v>441</v>
      </c>
      <c r="C3" s="298"/>
      <c r="D3" s="270">
        <v>43869</v>
      </c>
      <c r="E3" s="271"/>
    </row>
    <row r="4" spans="2:5" ht="25.15" customHeight="1" thickBot="1">
      <c r="B4" s="297" t="s">
        <v>442</v>
      </c>
      <c r="C4" s="298"/>
      <c r="D4" s="272">
        <v>0</v>
      </c>
      <c r="E4" s="271"/>
    </row>
    <row r="5" spans="1:6" ht="25.15" customHeight="1" thickBot="1">
      <c r="A5" s="24"/>
      <c r="B5" s="279"/>
      <c r="C5" s="279"/>
      <c r="D5" s="280"/>
      <c r="E5" s="281"/>
      <c r="F5" s="24"/>
    </row>
    <row r="6" spans="2:10" ht="25.15" customHeight="1" thickBot="1">
      <c r="B6" s="297" t="s">
        <v>98</v>
      </c>
      <c r="C6" s="298"/>
      <c r="D6" s="273">
        <v>16</v>
      </c>
      <c r="E6" s="11" t="s">
        <v>301</v>
      </c>
      <c r="F6" s="15"/>
      <c r="G6" s="15"/>
      <c r="H6" s="15"/>
      <c r="I6" s="15"/>
      <c r="J6" s="15"/>
    </row>
    <row r="7" spans="2:10" ht="25.15" customHeight="1" thickBot="1">
      <c r="B7" s="297" t="s">
        <v>99</v>
      </c>
      <c r="C7" s="298"/>
      <c r="D7" s="274">
        <v>20</v>
      </c>
      <c r="E7" s="16" t="s">
        <v>100</v>
      </c>
      <c r="F7" s="15"/>
      <c r="G7" s="15"/>
      <c r="H7" s="15"/>
      <c r="I7" s="15"/>
      <c r="J7" s="15"/>
    </row>
    <row r="8" spans="2:10" ht="25.15" customHeight="1" thickBot="1">
      <c r="B8" s="297" t="s">
        <v>135</v>
      </c>
      <c r="C8" s="298"/>
      <c r="D8" s="274">
        <v>7000</v>
      </c>
      <c r="E8" s="16" t="s">
        <v>439</v>
      </c>
      <c r="F8" s="15"/>
      <c r="G8" s="282">
        <v>-20</v>
      </c>
      <c r="H8" s="283" t="s">
        <v>432</v>
      </c>
      <c r="I8" s="15"/>
      <c r="J8" s="15"/>
    </row>
    <row r="9" spans="2:10" ht="25.15" customHeight="1" thickBot="1">
      <c r="B9" s="297" t="s">
        <v>376</v>
      </c>
      <c r="C9" s="298"/>
      <c r="D9" s="274">
        <v>1.5</v>
      </c>
      <c r="E9" s="16" t="s">
        <v>7</v>
      </c>
      <c r="F9" s="15"/>
      <c r="G9" s="284">
        <v>-40</v>
      </c>
      <c r="H9" s="285" t="s">
        <v>433</v>
      </c>
      <c r="I9" s="15"/>
      <c r="J9" s="15"/>
    </row>
    <row r="10" spans="2:10" ht="25.15" customHeight="1" thickBot="1">
      <c r="B10" s="297" t="s">
        <v>431</v>
      </c>
      <c r="C10" s="298"/>
      <c r="D10" s="274">
        <v>-20</v>
      </c>
      <c r="E10" s="16" t="s">
        <v>100</v>
      </c>
      <c r="F10" s="15"/>
      <c r="G10" s="286">
        <v>-60</v>
      </c>
      <c r="H10" s="287" t="s">
        <v>434</v>
      </c>
      <c r="I10" s="15"/>
      <c r="J10" s="15"/>
    </row>
    <row r="11" spans="2:10" ht="37.9" customHeight="1" thickBot="1">
      <c r="B11" s="297" t="s">
        <v>262</v>
      </c>
      <c r="C11" s="298"/>
      <c r="D11" s="334" t="s">
        <v>456</v>
      </c>
      <c r="E11" s="335"/>
      <c r="F11" s="15"/>
      <c r="G11" s="278"/>
      <c r="H11" s="278"/>
      <c r="I11" s="15"/>
      <c r="J11" s="15"/>
    </row>
    <row r="12" spans="2:10" ht="78.6" customHeight="1" thickBot="1">
      <c r="B12" s="297" t="s">
        <v>263</v>
      </c>
      <c r="C12" s="298"/>
      <c r="D12" s="334" t="s">
        <v>457</v>
      </c>
      <c r="E12" s="335"/>
      <c r="F12" s="15"/>
      <c r="G12" s="278"/>
      <c r="H12" s="278"/>
      <c r="I12" s="15"/>
      <c r="J12" s="15"/>
    </row>
    <row r="13" spans="6:9" ht="25.15" customHeight="1">
      <c r="F13" s="12"/>
      <c r="I13" s="211"/>
    </row>
    <row r="14" spans="6:6" s="289" customFormat="1" ht="25.15" customHeight="1" hidden="1" thickBot="1">
      <c r="F14" s="296"/>
    </row>
    <row r="15" spans="1:17" s="8" customFormat="1" ht="25.15" customHeight="1" hidden="1" thickBot="1">
      <c r="A15" s="289"/>
      <c r="B15" s="319" t="s">
        <v>89</v>
      </c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</row>
    <row r="16" spans="1:17" s="8" customFormat="1" ht="25.15" customHeight="1" hidden="1">
      <c r="A16" s="289"/>
      <c r="B16" s="321" t="s">
        <v>93</v>
      </c>
      <c r="C16" s="322"/>
      <c r="D16" s="323"/>
      <c r="E16" s="21">
        <v>4</v>
      </c>
      <c r="F16" s="21">
        <v>5</v>
      </c>
      <c r="G16" s="21">
        <v>6</v>
      </c>
      <c r="H16" s="21">
        <v>7</v>
      </c>
      <c r="I16" s="21">
        <v>8</v>
      </c>
      <c r="J16" s="21">
        <v>9</v>
      </c>
      <c r="K16" s="21">
        <v>10</v>
      </c>
      <c r="L16" s="21">
        <v>11</v>
      </c>
      <c r="M16" s="21">
        <v>12</v>
      </c>
      <c r="N16" s="21">
        <v>13</v>
      </c>
      <c r="O16" s="21">
        <v>14</v>
      </c>
      <c r="P16" s="21">
        <v>15</v>
      </c>
      <c r="Q16" s="21">
        <v>16</v>
      </c>
    </row>
    <row r="17" spans="1:17" s="8" customFormat="1" ht="25.15" customHeight="1" hidden="1" thickBot="1">
      <c r="A17" s="289"/>
      <c r="B17" s="300" t="s">
        <v>89</v>
      </c>
      <c r="C17" s="301"/>
      <c r="D17" s="301"/>
      <c r="E17" s="22">
        <v>0.62</v>
      </c>
      <c r="F17" s="22">
        <v>0.77</v>
      </c>
      <c r="G17" s="22">
        <v>0.9</v>
      </c>
      <c r="H17" s="22">
        <v>1</v>
      </c>
      <c r="I17" s="22">
        <v>1.09</v>
      </c>
      <c r="J17" s="22">
        <v>1.17</v>
      </c>
      <c r="K17" s="22">
        <v>1.24</v>
      </c>
      <c r="L17" s="22">
        <v>1.31</v>
      </c>
      <c r="M17" s="22">
        <v>1.37</v>
      </c>
      <c r="N17" s="22">
        <v>1.42</v>
      </c>
      <c r="O17" s="22">
        <v>1.47</v>
      </c>
      <c r="P17" s="22">
        <v>1.52</v>
      </c>
      <c r="Q17" s="22">
        <v>1.56</v>
      </c>
    </row>
    <row r="18" spans="1:1" s="8" customFormat="1" ht="25.15" customHeight="1" hidden="1" thickBot="1">
      <c r="A18" s="289"/>
    </row>
    <row r="19" spans="1:17" s="8" customFormat="1" ht="25.15" customHeight="1" hidden="1" thickBot="1">
      <c r="A19" s="289"/>
      <c r="B19" s="326" t="s">
        <v>89</v>
      </c>
      <c r="C19" s="327"/>
      <c r="D19" s="327"/>
      <c r="E19" s="327"/>
      <c r="F19" s="327"/>
      <c r="G19" s="327"/>
      <c r="H19" s="327"/>
      <c r="I19" s="327"/>
      <c r="J19" s="327"/>
      <c r="K19" s="327"/>
      <c r="L19" s="328"/>
      <c r="N19" s="332" t="s">
        <v>104</v>
      </c>
      <c r="O19" s="329" t="s">
        <v>108</v>
      </c>
      <c r="P19" s="330"/>
      <c r="Q19" s="331"/>
    </row>
    <row r="20" spans="1:17" s="8" customFormat="1" ht="25.15" customHeight="1" hidden="1" thickBot="1">
      <c r="A20" s="289"/>
      <c r="B20" s="324" t="s">
        <v>95</v>
      </c>
      <c r="C20" s="325"/>
      <c r="D20" s="325"/>
      <c r="E20" s="10" t="s">
        <v>94</v>
      </c>
      <c r="F20" s="10">
        <v>30</v>
      </c>
      <c r="G20" s="10">
        <v>35</v>
      </c>
      <c r="H20" s="10">
        <v>40</v>
      </c>
      <c r="I20" s="10">
        <v>45</v>
      </c>
      <c r="J20" s="10">
        <v>50</v>
      </c>
      <c r="K20" s="10">
        <v>55</v>
      </c>
      <c r="L20" s="17">
        <v>60</v>
      </c>
      <c r="N20" s="333"/>
      <c r="O20" s="36" t="s">
        <v>105</v>
      </c>
      <c r="P20" s="37" t="s">
        <v>106</v>
      </c>
      <c r="Q20" s="1" t="s">
        <v>107</v>
      </c>
    </row>
    <row r="21" spans="1:17" s="8" customFormat="1" ht="25.15" customHeight="1" hidden="1" thickBot="1">
      <c r="A21" s="289"/>
      <c r="B21" s="300" t="s">
        <v>89</v>
      </c>
      <c r="C21" s="301"/>
      <c r="D21" s="301"/>
      <c r="E21" s="22">
        <v>1.12</v>
      </c>
      <c r="F21" s="22">
        <v>1.06</v>
      </c>
      <c r="G21" s="22">
        <v>1</v>
      </c>
      <c r="H21" s="22">
        <v>0.93</v>
      </c>
      <c r="I21" s="22">
        <v>0.86</v>
      </c>
      <c r="J21" s="22">
        <v>0.78</v>
      </c>
      <c r="K21" s="22">
        <v>0.7</v>
      </c>
      <c r="L21" s="19">
        <v>0.6</v>
      </c>
      <c r="N21" s="38" t="s">
        <v>109</v>
      </c>
      <c r="O21" s="10">
        <v>320</v>
      </c>
      <c r="P21" s="10">
        <f ca="1">0.06*O21</f>
        <v>19.2</v>
      </c>
      <c r="Q21" s="33">
        <f ca="1">O21*0.03531467</f>
        <v>11.3006944</v>
      </c>
    </row>
    <row r="22" spans="1:17" s="8" customFormat="1" ht="25.15" customHeight="1" hidden="1">
      <c r="A22" s="289"/>
      <c r="K22" s="24"/>
      <c r="N22" s="39" t="s">
        <v>110</v>
      </c>
      <c r="O22" s="7">
        <v>530</v>
      </c>
      <c r="P22" s="7">
        <f ca="1">0.06*O22</f>
        <v>31.799999999999997</v>
      </c>
      <c r="Q22" s="34">
        <f ca="1">O22*0.03531467</f>
        <v>18.7167751</v>
      </c>
    </row>
    <row r="23" spans="1:17" s="8" customFormat="1" ht="25.15" customHeight="1" hidden="1" thickBot="1">
      <c r="A23" s="289"/>
      <c r="B23" s="25" t="s">
        <v>91</v>
      </c>
      <c r="E23" s="25" t="s">
        <v>91</v>
      </c>
      <c r="N23" s="39" t="s">
        <v>111</v>
      </c>
      <c r="O23" s="7">
        <v>760</v>
      </c>
      <c r="P23" s="7">
        <f ca="1">0.06*O23</f>
        <v>45.6</v>
      </c>
      <c r="Q23" s="34">
        <f ca="1">O23*0.03531467</f>
        <v>26.839149199999998</v>
      </c>
    </row>
    <row r="24" spans="1:17" s="8" customFormat="1" ht="25.15" customHeight="1" hidden="1" thickBot="1">
      <c r="A24" s="289"/>
      <c r="B24" s="51" t="s">
        <v>90</v>
      </c>
      <c r="C24" s="52" t="s">
        <v>92</v>
      </c>
      <c r="E24" s="30" t="s">
        <v>101</v>
      </c>
      <c r="F24" s="31" t="s">
        <v>92</v>
      </c>
      <c r="N24" s="39" t="s">
        <v>112</v>
      </c>
      <c r="O24" s="7">
        <v>1200</v>
      </c>
      <c r="P24" s="7">
        <f ca="1">0.06*O24</f>
        <v>72</v>
      </c>
      <c r="Q24" s="34">
        <f ca="1">O24*0.03531467</f>
        <v>42.377604</v>
      </c>
    </row>
    <row r="25" spans="1:17" s="8" customFormat="1" ht="25.15" customHeight="1" hidden="1">
      <c r="A25" s="289"/>
      <c r="B25" s="9">
        <f ca="1">ROUNDDOWN(B26,0)</f>
        <v>16</v>
      </c>
      <c r="C25" s="17">
        <f ca="1">IF(B25=E16,E17,IF(B25=F16,F17,IF(B25=G16,G17,IF(B25=H16,H17,IF(B25=I16,I17,IF(B25=J16,J17,IF(B25=K16,K17,IF(B25=L16,L17,IF(B25=M16,M17,IF(B25=N16,N17,IF(B25=O16,O17,IF(B25=P16,P17,IF(B25=Q16,Q17)))))))))))))</f>
        <v>1.56</v>
      </c>
      <c r="E25" s="28">
        <f ca="1">IF($E$26&lt;=25,25,IF($E$26&lt;30,25,IF($E$26&lt;35,30,IF($E$26&lt;40,35,IF($E$26&lt;45,40,IF($E$26&lt;50,45,IF($E$26&lt;55,50,IF($E$26&lt;60,55))))))))</f>
        <v>25</v>
      </c>
      <c r="F25" s="17">
        <f ca="1">IF($E$25=25,$E$21,IF($E$25=$F$20,$F$21,IF($E$25=$G$20,$G$21,IF($E$25=H20,H21,IF($E$25=$I$20,$I$21,IF($E$25=$J$20,$J$21,IF($E$25=$K$20,$K$21,IF($E$25=$L$20,$L$21))))))))</f>
        <v>1.12</v>
      </c>
      <c r="N25" s="39" t="s">
        <v>113</v>
      </c>
      <c r="O25" s="7">
        <v>1850</v>
      </c>
      <c r="P25" s="7">
        <f ca="1">0.06*O25</f>
        <v>111</v>
      </c>
      <c r="Q25" s="34">
        <f ca="1">O25*0.03531467</f>
        <v>65.3321395</v>
      </c>
    </row>
    <row r="26" spans="1:17" s="8" customFormat="1" ht="25.15" customHeight="1" hidden="1">
      <c r="A26" s="289"/>
      <c r="B26" s="20">
        <f ca="1">$D$6</f>
        <v>16</v>
      </c>
      <c r="C26" s="26">
        <f ca="1">IF(B26=E16,E17,IF(B26=F16,F17,IF(B26=G16,G17,IF(B26=H16,H17,IF(B26=I16,I17,IF(B26=J16,J17,IF(B26=K16,K17,IF(B26=L16,L17,IF(B26=M16,M17,IF(B26=N16,N17,IF(B26=O16,O17,IF(B26=P16,P17,IF(B26=Q16,Q17,(((B26-B25)*(C27-C25))/(B27-B25))+C25)))))))))))))</f>
        <v>1.56</v>
      </c>
      <c r="E26" s="20">
        <f ca="1">$D$7</f>
        <v>20</v>
      </c>
      <c r="F26" s="27">
        <f ca="1">IF($E$26=$F$20,$F$21,IF($E$26=$G$20,$G$21,IF($E$26=$H$20,$H$21,IF($E$26=$H$20,$H$21,IF($E$26=$I$20,$I$21,IF($E$26=$J$20,$J$21,IF($E$26=$K$20,$K$21,IF($E$26=$L$20,$L$21,((($E$26-$E$25)*($F$27-$F$25))/($E$27-$E$25))+$F$25))))))))</f>
        <v>1.1800000000000002</v>
      </c>
      <c r="N26" s="39" t="s">
        <v>114</v>
      </c>
      <c r="O26" s="7">
        <v>2500</v>
      </c>
      <c r="P26" s="7">
        <f ca="1">0.06*O26</f>
        <v>150</v>
      </c>
      <c r="Q26" s="34">
        <f ca="1">O26*0.03531467</f>
        <v>88.286675</v>
      </c>
    </row>
    <row r="27" spans="1:17" s="8" customFormat="1" ht="25.15" customHeight="1" hidden="1" thickBot="1">
      <c r="A27" s="289"/>
      <c r="B27" s="18">
        <f ca="1">ROUNDUP(B26,0)</f>
        <v>16</v>
      </c>
      <c r="C27" s="19">
        <f ca="1">IF(B27=E16,E17,IF(B27=F16,F17,IF(B27=G16,G17,IF(B27=H16,H17,IF(B27=I16,I17,IF(B27=J16,J17,IF(B27=K16,K17,IF(B27=L16,L17,IF(B27=M16,M17,IF(B27=N16,N17,IF(B27=O16,O17,IF(B27=P16,P17,IF(B27=Q16,Q17)))))))))))))</f>
        <v>1.56</v>
      </c>
      <c r="E27" s="18">
        <f ca="1">$E$25+5</f>
        <v>30</v>
      </c>
      <c r="F27" s="19">
        <f ca="1">IF($E$27=25,$E$21,IF($E$27=$F$20,$F$21,IF($E$27=$G$20,$G$21,IF($E$27=$H$20,$H$21,IF($E$27=$I$20,$I$21,IF($E$27=$J$20,$J$21,IF($E$27=$K$20,$K$21,IF($E$27=$L$20,$L$21))))))))</f>
        <v>1.06</v>
      </c>
      <c r="N27" s="39" t="s">
        <v>115</v>
      </c>
      <c r="O27" s="7">
        <v>3000</v>
      </c>
      <c r="P27" s="7">
        <f ca="1">0.06*O27</f>
        <v>180</v>
      </c>
      <c r="Q27" s="34">
        <f ca="1">O27*0.03531467</f>
        <v>105.94400999999999</v>
      </c>
    </row>
    <row r="28" spans="1:17" ht="25.15" customHeight="1" hidden="1" thickBot="1">
      <c r="A28" s="289"/>
      <c r="G28" s="8"/>
      <c r="H28" s="8"/>
      <c r="N28" s="39" t="s">
        <v>116</v>
      </c>
      <c r="O28" s="7">
        <v>3900</v>
      </c>
      <c r="P28" s="7">
        <f ca="1">0.06*O28</f>
        <v>234</v>
      </c>
      <c r="Q28" s="34">
        <f ca="1">O28*0.03531467</f>
        <v>137.727213</v>
      </c>
    </row>
    <row r="29" spans="1:17" ht="25.15" customHeight="1" hidden="1" thickBot="1">
      <c r="A29" s="289"/>
      <c r="E29" s="339" t="s">
        <v>425</v>
      </c>
      <c r="F29" s="199"/>
      <c r="N29" s="39" t="s">
        <v>117</v>
      </c>
      <c r="O29" s="7">
        <v>5000</v>
      </c>
      <c r="P29" s="7">
        <f ca="1">0.06*O29</f>
        <v>300</v>
      </c>
      <c r="Q29" s="34">
        <f ca="1">O29*0.03531467</f>
        <v>176.57335</v>
      </c>
    </row>
    <row r="30" spans="1:17" ht="25.15" customHeight="1" hidden="1" thickBot="1">
      <c r="A30" s="289"/>
      <c r="C30" s="204" t="s">
        <v>419</v>
      </c>
      <c r="D30" s="203" t="s">
        <v>420</v>
      </c>
      <c r="E30" s="340"/>
      <c r="F30" s="175"/>
      <c r="H30" s="336" t="s">
        <v>421</v>
      </c>
      <c r="I30" s="187" t="s">
        <v>419</v>
      </c>
      <c r="J30" s="188" t="s">
        <v>420</v>
      </c>
      <c r="N30" s="39" t="s">
        <v>118</v>
      </c>
      <c r="O30" s="7">
        <v>6200</v>
      </c>
      <c r="P30" s="7">
        <f ca="1">0.06*O30</f>
        <v>372</v>
      </c>
      <c r="Q30" s="34">
        <f ca="1">O30*0.03531467</f>
        <v>218.950954</v>
      </c>
    </row>
    <row r="31" spans="1:17" ht="25.15" customHeight="1" hidden="1">
      <c r="A31" s="289"/>
      <c r="B31" s="205" t="s">
        <v>426</v>
      </c>
      <c r="C31" s="185" t="s">
        <v>14</v>
      </c>
      <c r="D31" s="196">
        <v>5</v>
      </c>
      <c r="E31" s="200">
        <v>1.2</v>
      </c>
      <c r="F31" s="2">
        <f ca="1">D31+E31</f>
        <v>6.2</v>
      </c>
      <c r="H31" s="337"/>
      <c r="I31" s="185" t="s">
        <v>65</v>
      </c>
      <c r="J31" s="186">
        <v>4</v>
      </c>
      <c r="N31" s="39" t="s">
        <v>119</v>
      </c>
      <c r="O31" s="7">
        <v>7500</v>
      </c>
      <c r="P31" s="7">
        <f ca="1">0.06*O31</f>
        <v>450</v>
      </c>
      <c r="Q31" s="34">
        <f ca="1">O31*0.03531467</f>
        <v>264.860025</v>
      </c>
    </row>
    <row r="32" spans="1:17" ht="25.15" customHeight="1" hidden="1">
      <c r="A32" s="289"/>
      <c r="B32" s="205" t="s">
        <v>63</v>
      </c>
      <c r="C32" s="176" t="s">
        <v>12</v>
      </c>
      <c r="D32" s="197">
        <v>7</v>
      </c>
      <c r="E32" s="201">
        <v>1.3</v>
      </c>
      <c r="F32" s="2">
        <f ca="1">D32+E32</f>
        <v>8.3</v>
      </c>
      <c r="H32" s="337"/>
      <c r="I32" s="176" t="s">
        <v>422</v>
      </c>
      <c r="J32" s="184">
        <v>4.5</v>
      </c>
      <c r="N32" s="39" t="s">
        <v>120</v>
      </c>
      <c r="O32" s="7">
        <v>9000</v>
      </c>
      <c r="P32" s="7">
        <f ca="1">0.06*O32</f>
        <v>540</v>
      </c>
      <c r="Q32" s="34">
        <f ca="1">O32*0.03531467</f>
        <v>317.83203</v>
      </c>
    </row>
    <row r="33" spans="1:17" ht="25.15" customHeight="1" hidden="1">
      <c r="A33" s="289"/>
      <c r="B33" s="205" t="s">
        <v>39</v>
      </c>
      <c r="C33" s="176" t="s">
        <v>13</v>
      </c>
      <c r="D33" s="197">
        <v>10</v>
      </c>
      <c r="E33" s="201">
        <v>2.1</v>
      </c>
      <c r="F33" s="2">
        <f ca="1">D33+E33</f>
        <v>12.1</v>
      </c>
      <c r="H33" s="337"/>
      <c r="I33" s="176" t="s">
        <v>3</v>
      </c>
      <c r="J33" s="184">
        <v>5</v>
      </c>
      <c r="N33" s="39" t="s">
        <v>121</v>
      </c>
      <c r="O33" s="7">
        <v>12800</v>
      </c>
      <c r="P33" s="7">
        <f ca="1">0.06*O33</f>
        <v>768</v>
      </c>
      <c r="Q33" s="34">
        <f ca="1">O33*0.03531467</f>
        <v>452.027776</v>
      </c>
    </row>
    <row r="34" spans="1:17" ht="25.15" customHeight="1" hidden="1" thickBot="1">
      <c r="A34" s="289"/>
      <c r="B34" s="205" t="s">
        <v>427</v>
      </c>
      <c r="C34" s="177" t="s">
        <v>56</v>
      </c>
      <c r="D34" s="198">
        <v>15</v>
      </c>
      <c r="E34" s="202">
        <v>4.2</v>
      </c>
      <c r="F34" s="2">
        <f ca="1">D34+E34</f>
        <v>19.2</v>
      </c>
      <c r="H34" s="337"/>
      <c r="I34" s="178" t="s">
        <v>9</v>
      </c>
      <c r="J34" s="181">
        <v>9</v>
      </c>
      <c r="N34" s="39" t="s">
        <v>122</v>
      </c>
      <c r="O34" s="7">
        <v>16200</v>
      </c>
      <c r="P34" s="7">
        <f ca="1">0.06*O34</f>
        <v>972</v>
      </c>
      <c r="Q34" s="34">
        <f ca="1">O34*0.03531467</f>
        <v>572.097654</v>
      </c>
    </row>
    <row r="35" spans="1:17" ht="25.15" customHeight="1" hidden="1" thickBot="1">
      <c r="A35" s="289"/>
      <c r="E35" s="41"/>
      <c r="H35" s="337"/>
      <c r="I35" s="179" t="s">
        <v>4</v>
      </c>
      <c r="J35" s="182">
        <v>14</v>
      </c>
      <c r="N35" s="39" t="s">
        <v>123</v>
      </c>
      <c r="O35" s="7">
        <v>20500</v>
      </c>
      <c r="P35" s="7">
        <f ca="1">0.06*O35</f>
        <v>1230</v>
      </c>
      <c r="Q35" s="34">
        <f ca="1">O35*0.03531467</f>
        <v>723.950735</v>
      </c>
    </row>
    <row r="36" spans="1:17" ht="25.15" customHeight="1" hidden="1" thickBot="1">
      <c r="A36" s="289"/>
      <c r="B36" s="336" t="s">
        <v>421</v>
      </c>
      <c r="C36" s="187" t="s">
        <v>419</v>
      </c>
      <c r="D36" s="188" t="s">
        <v>420</v>
      </c>
      <c r="E36" s="41"/>
      <c r="H36" s="337"/>
      <c r="I36" s="179" t="s">
        <v>11</v>
      </c>
      <c r="J36" s="182">
        <v>14</v>
      </c>
      <c r="N36" s="39" t="s">
        <v>124</v>
      </c>
      <c r="O36" s="32">
        <v>25500</v>
      </c>
      <c r="P36" s="7">
        <f ca="1">0.06*O36</f>
        <v>1530</v>
      </c>
      <c r="Q36" s="34">
        <f ca="1">O36*0.03531467</f>
        <v>900.524085</v>
      </c>
    </row>
    <row r="37" spans="1:17" ht="25.15" customHeight="1" hidden="1" thickBot="1">
      <c r="A37" s="289"/>
      <c r="B37" s="337"/>
      <c r="C37" s="189" t="s">
        <v>14</v>
      </c>
      <c r="D37" s="193">
        <v>5</v>
      </c>
      <c r="E37" s="24"/>
      <c r="H37" s="338"/>
      <c r="I37" s="177" t="s">
        <v>423</v>
      </c>
      <c r="J37" s="183">
        <v>22</v>
      </c>
      <c r="N37" s="39" t="s">
        <v>125</v>
      </c>
      <c r="O37" s="7">
        <v>30000</v>
      </c>
      <c r="P37" s="7">
        <f ca="1">0.06*O37</f>
        <v>1800</v>
      </c>
      <c r="Q37" s="34">
        <f ca="1">O37*0.03531467</f>
        <v>1059.4401</v>
      </c>
    </row>
    <row r="38" spans="1:17" ht="25.15" customHeight="1" hidden="1">
      <c r="A38" s="289"/>
      <c r="B38" s="337"/>
      <c r="C38" s="190" t="s">
        <v>12</v>
      </c>
      <c r="D38" s="180">
        <v>7</v>
      </c>
      <c r="N38" s="39" t="s">
        <v>126</v>
      </c>
      <c r="O38" s="7">
        <v>36000</v>
      </c>
      <c r="P38" s="7">
        <f ca="1">0.06*O38</f>
        <v>2160</v>
      </c>
      <c r="Q38" s="34">
        <f ca="1">O38*0.03531467</f>
        <v>1271.32812</v>
      </c>
    </row>
    <row r="39" spans="1:17" ht="25.15" customHeight="1" hidden="1">
      <c r="A39" s="289"/>
      <c r="B39" s="337"/>
      <c r="C39" s="190" t="s">
        <v>13</v>
      </c>
      <c r="D39" s="180">
        <v>10</v>
      </c>
      <c r="N39" s="39" t="s">
        <v>127</v>
      </c>
      <c r="O39" s="7">
        <v>42000</v>
      </c>
      <c r="P39" s="7">
        <f ca="1">0.06*O39</f>
        <v>2520</v>
      </c>
      <c r="Q39" s="34">
        <f ca="1">O39*0.03531467</f>
        <v>1483.21614</v>
      </c>
    </row>
    <row r="40" spans="1:17" ht="25.15" customHeight="1" hidden="1">
      <c r="A40" s="289"/>
      <c r="B40" s="337"/>
      <c r="C40" s="191" t="s">
        <v>424</v>
      </c>
      <c r="D40" s="180">
        <v>18</v>
      </c>
      <c r="N40" s="39" t="s">
        <v>128</v>
      </c>
      <c r="O40" s="7">
        <v>45600</v>
      </c>
      <c r="P40" s="7">
        <f ca="1">0.06*O40</f>
        <v>2736</v>
      </c>
      <c r="Q40" s="34">
        <f ca="1">O40*0.03531467</f>
        <v>1610.348952</v>
      </c>
    </row>
    <row r="41" spans="1:17" ht="25.15" customHeight="1" hidden="1">
      <c r="A41" s="289"/>
      <c r="B41" s="337"/>
      <c r="C41" s="191" t="s">
        <v>65</v>
      </c>
      <c r="D41" s="194">
        <v>19</v>
      </c>
      <c r="N41" s="39" t="s">
        <v>129</v>
      </c>
      <c r="O41" s="7">
        <v>62500</v>
      </c>
      <c r="P41" s="7">
        <f ca="1">0.06*O41</f>
        <v>3750</v>
      </c>
      <c r="Q41" s="34">
        <f ca="1">O41*0.03531467</f>
        <v>2207.166875</v>
      </c>
    </row>
    <row r="42" spans="1:17" ht="25.15" customHeight="1" hidden="1">
      <c r="A42" s="289"/>
      <c r="B42" s="337"/>
      <c r="C42" s="191" t="s">
        <v>422</v>
      </c>
      <c r="D42" s="194">
        <v>26</v>
      </c>
      <c r="N42" s="39" t="s">
        <v>130</v>
      </c>
      <c r="O42" s="7">
        <v>81000</v>
      </c>
      <c r="P42" s="7">
        <f ca="1">0.06*O42</f>
        <v>4860</v>
      </c>
      <c r="Q42" s="34">
        <f ca="1">O42*0.03531467</f>
        <v>2860.48827</v>
      </c>
    </row>
    <row r="43" spans="1:17" ht="25.15" customHeight="1" hidden="1">
      <c r="A43" s="289"/>
      <c r="B43" s="337"/>
      <c r="C43" s="191" t="s">
        <v>3</v>
      </c>
      <c r="D43" s="194">
        <v>29</v>
      </c>
      <c r="N43" s="39" t="s">
        <v>131</v>
      </c>
      <c r="O43" s="7">
        <v>102000</v>
      </c>
      <c r="P43" s="7">
        <f ca="1">0.06*O43</f>
        <v>6120</v>
      </c>
      <c r="Q43" s="34">
        <f ca="1">O43*0.03531467</f>
        <v>3602.09634</v>
      </c>
    </row>
    <row r="44" spans="1:17" ht="25.15" customHeight="1" hidden="1">
      <c r="A44" s="289"/>
      <c r="B44" s="337"/>
      <c r="C44" s="191" t="s">
        <v>9</v>
      </c>
      <c r="D44" s="194">
        <v>48</v>
      </c>
      <c r="N44" s="39" t="s">
        <v>132</v>
      </c>
      <c r="O44" s="7">
        <v>126000</v>
      </c>
      <c r="P44" s="7">
        <f ca="1">0.06*O44</f>
        <v>7560</v>
      </c>
      <c r="Q44" s="34">
        <f ca="1">O44*0.03531467</f>
        <v>4449.6484199999995</v>
      </c>
    </row>
    <row r="45" spans="1:17" ht="25.15" customHeight="1" hidden="1" thickBot="1">
      <c r="A45" s="289"/>
      <c r="B45" s="337"/>
      <c r="C45" s="191" t="s">
        <v>4</v>
      </c>
      <c r="D45" s="194">
        <v>69</v>
      </c>
      <c r="N45" s="40" t="s">
        <v>133</v>
      </c>
      <c r="O45" s="22">
        <v>151000</v>
      </c>
      <c r="P45" s="22">
        <f ca="1">0.06*O45</f>
        <v>9060</v>
      </c>
      <c r="Q45" s="35">
        <f ca="1">O45*0.03531467</f>
        <v>5332.51517</v>
      </c>
    </row>
    <row r="46" spans="1:4" ht="25.15" customHeight="1" hidden="1" thickBot="1">
      <c r="A46" s="289"/>
      <c r="B46" s="338"/>
      <c r="C46" s="192" t="s">
        <v>11</v>
      </c>
      <c r="D46" s="195">
        <v>77</v>
      </c>
    </row>
    <row r="47" spans="2:4" s="289" customFormat="1" ht="25.15" customHeight="1" hidden="1">
      <c r="B47" s="293"/>
      <c r="C47" s="294"/>
      <c r="D47" s="295"/>
    </row>
    <row r="48" ht="25.15" customHeight="1" thickBot="1"/>
    <row r="49" spans="2:5" ht="25.15" customHeight="1">
      <c r="B49" s="347" t="s">
        <v>135</v>
      </c>
      <c r="C49" s="348"/>
      <c r="D49" s="275">
        <f ca="1">$D$8</f>
        <v>7000</v>
      </c>
      <c r="E49" s="13" t="s">
        <v>96</v>
      </c>
    </row>
    <row r="50" spans="2:5" ht="25.15" customHeight="1">
      <c r="B50" s="44" t="s">
        <v>102</v>
      </c>
      <c r="C50" s="42"/>
      <c r="D50" s="276">
        <f ca="1">$C$26</f>
        <v>1.56</v>
      </c>
      <c r="E50" s="14" t="s">
        <v>7</v>
      </c>
    </row>
    <row r="51" spans="2:5" ht="25.15" customHeight="1">
      <c r="B51" s="44" t="s">
        <v>103</v>
      </c>
      <c r="C51" s="42"/>
      <c r="D51" s="276">
        <f ca="1">$F$26</f>
        <v>1.1800000000000002</v>
      </c>
      <c r="E51" s="14" t="s">
        <v>7</v>
      </c>
    </row>
    <row r="52" spans="2:5" ht="25.15" customHeight="1" thickBot="1">
      <c r="B52" s="45" t="s">
        <v>97</v>
      </c>
      <c r="C52" s="46"/>
      <c r="D52" s="248">
        <f ca="1">$D$49/($D$50*$D$51)</f>
        <v>3802.694480660582</v>
      </c>
      <c r="E52" s="29" t="s">
        <v>96</v>
      </c>
    </row>
    <row r="53" spans="2:7" ht="25.15" customHeight="1" thickBot="1">
      <c r="B53" s="349" t="s">
        <v>134</v>
      </c>
      <c r="C53" s="350"/>
      <c r="D53" s="351"/>
      <c r="E53" s="53" t="str">
        <f ca="1">IF($D$52&lt;$P$21,$N$21,IF($D$52&lt;$P$22,$N$22,IF($D$52&lt;$P$23,$N$23,IF($D$52&lt;$P$24,$N$24,IF($D$52&lt;$P$25,$N$25,IF($D$52&lt;$P$26,$N$26,IF($D$52&lt;$P$27,$N$27,IF($D$52&lt;$P$28,$N$28,IF($D$52&lt;$P$29,$N$29,IF($D$52&lt;$P$30,$N$30,IF($D$52&lt;$P$31,$N$31,IF($D$52&lt;$P$32,$N$32,IF($D$52&lt;$P$33,$N$33,IF($D$52&lt;$P$34,$N$34,IF($D$52&lt;$P$35,$N$35,IF($D$52&lt;$P$36,$N$36,IF($D$52&lt;$P$37,$N$37,IF($D$52&lt;$P$38,$N$38,IF($D$52&lt;$P$39,$N$39,IF($D$52&lt;$P$40,$N$40,IF($D$52&lt;$P$41,$N$41,IF($D$52&lt;$P$42,$N$42,IF($D$52&lt;$P$43,$N$43,IF($D$52&lt;$P$44,$N$44,IF($D$52&lt;$P$45,$N$45,N45)))))))))))))))))))))))))</f>
        <v>HDT-800</v>
      </c>
      <c r="G53" s="288" t="str">
        <f ca="1">IF(AND($D$10=$G$10,$E$53=N21),N22,IF(AND($D$10=$G$10,$E$53=N22),N23,IF(AND($D$10=$G$10,$E$53=N23),N24,IF(AND($D$10=$G$10,$E$53=N24),N25,IF(AND($D$10=$G$10,$E$53=N25),N26,IF(AND($D$10=$G$10,$E$53=N26),N27,IF(AND($D$10=$G$10,$E$53=N27),N28,IF(AND($D$10=$G$10,$E$53=N28),N29,IF(AND($D$10=$G$10,$E$53=N29),N30,IF(AND($D$10=$G$10,$E$53=N30),N31,IF(AND($D$10=$G$10,$E$53=N31),N32,IF(AND($D$10=$G$10,$E$53=N32),N33,IF(AND($D$10=$G$10,$E$53=N33),N34,IF(AND($D$10=$G$10,$E$53=N34),N35,IF(AND($D$10=$G$10,$E$53=N35),N36,IF(AND($D$10=$G$10,$E$53=N36),N37,IF(AND($D$10=$G$10,$E$53=N37),N38,IF(AND($D$10=$G$10,$E$53=N38),N39,IF(AND($D$10=$G$10,$E$53=N39),N40,IF(AND($D$10=$G$10,$E$53=N40),N41,IF(AND($D$10=$G$10,$E$53=N41),N42,IF(AND($D$10=$G$10,$E$53=N42),N43,IF(AND($D$10=$G$10,$E$53=N43),N44,IF(AND($D$10=$G$10,$E$53=N44),N45,E53))))))))))))))))))))))))</f>
        <v>HDT-800</v>
      </c>
    </row>
    <row r="54" spans="1:1" ht="19.9" customHeight="1" hidden="1">
      <c r="A54"/>
    </row>
    <row r="55" spans="1:1" s="289" customFormat="1" ht="19.9" customHeight="1" hidden="1" thickBot="1">
      <c r="A55"/>
    </row>
    <row r="56" spans="1:17" ht="19.9" customHeight="1" hidden="1">
      <c r="A56" s="289"/>
      <c r="B56" s="341" t="s">
        <v>8</v>
      </c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3"/>
    </row>
    <row r="57" spans="1:17" ht="19.9" customHeight="1" hidden="1" thickBot="1">
      <c r="A57" s="289"/>
      <c r="B57" s="344"/>
      <c r="C57" s="345"/>
      <c r="D57" s="345"/>
      <c r="E57" s="345"/>
      <c r="F57" s="345"/>
      <c r="G57" s="345"/>
      <c r="H57" s="345"/>
      <c r="I57" s="345"/>
      <c r="J57" s="345"/>
      <c r="K57" s="345"/>
      <c r="L57" s="345"/>
      <c r="M57" s="345"/>
      <c r="N57" s="345"/>
      <c r="O57" s="345"/>
      <c r="P57" s="345"/>
      <c r="Q57" s="346"/>
    </row>
    <row r="58" spans="1:17" ht="19.9" customHeight="1" hidden="1" thickBot="1">
      <c r="A58" s="289"/>
      <c r="B58" s="302" t="s">
        <v>2</v>
      </c>
      <c r="C58" s="303" t="s">
        <v>0</v>
      </c>
      <c r="D58" s="304" t="s">
        <v>372</v>
      </c>
      <c r="E58" s="305" t="s">
        <v>10</v>
      </c>
      <c r="F58" s="306" t="s">
        <v>1</v>
      </c>
      <c r="G58" s="307"/>
      <c r="H58" s="312" t="s">
        <v>15</v>
      </c>
      <c r="I58" s="305" t="s">
        <v>18</v>
      </c>
      <c r="J58" s="305" t="s">
        <v>19</v>
      </c>
      <c r="K58" s="305" t="s">
        <v>20</v>
      </c>
      <c r="L58" s="314" t="s">
        <v>21</v>
      </c>
      <c r="M58" s="304"/>
      <c r="N58" s="304"/>
      <c r="O58" s="315"/>
      <c r="P58" s="305" t="s">
        <v>33</v>
      </c>
      <c r="Q58" s="305" t="s">
        <v>387</v>
      </c>
    </row>
    <row r="59" spans="1:17" ht="19.9" customHeight="1" hidden="1" thickBot="1">
      <c r="A59" s="289"/>
      <c r="B59" s="302"/>
      <c r="C59" s="303"/>
      <c r="D59" s="304"/>
      <c r="E59" s="305"/>
      <c r="F59" s="47" t="s">
        <v>209</v>
      </c>
      <c r="G59" s="48" t="s">
        <v>446</v>
      </c>
      <c r="H59" s="313"/>
      <c r="I59" s="305"/>
      <c r="J59" s="305"/>
      <c r="K59" s="305"/>
      <c r="L59" s="316"/>
      <c r="M59" s="317"/>
      <c r="N59" s="317"/>
      <c r="O59" s="318"/>
      <c r="P59" s="310"/>
      <c r="Q59" s="310"/>
    </row>
    <row r="60" spans="1:17" ht="19.9" customHeight="1" hidden="1" thickBot="1">
      <c r="A60" s="289"/>
      <c r="B60" s="302"/>
      <c r="C60" s="303"/>
      <c r="D60" s="304"/>
      <c r="E60" s="305"/>
      <c r="F60" s="168" t="s">
        <v>5</v>
      </c>
      <c r="G60" s="169" t="s">
        <v>6</v>
      </c>
      <c r="H60" s="170" t="s">
        <v>16</v>
      </c>
      <c r="I60" s="305"/>
      <c r="J60" s="305"/>
      <c r="K60" s="314"/>
      <c r="L60" s="78" t="s">
        <v>26</v>
      </c>
      <c r="M60" s="77" t="s">
        <v>22</v>
      </c>
      <c r="N60" s="78" t="s">
        <v>0</v>
      </c>
      <c r="O60" s="79" t="s">
        <v>23</v>
      </c>
      <c r="P60" s="79" t="s">
        <v>34</v>
      </c>
      <c r="Q60" s="79" t="s">
        <v>34</v>
      </c>
    </row>
    <row r="61" spans="1:17" s="221" customFormat="1" ht="30" customHeight="1" hidden="1">
      <c r="A61" s="290"/>
      <c r="B61" s="222">
        <v>1</v>
      </c>
      <c r="C61" s="223" t="s">
        <v>109</v>
      </c>
      <c r="D61" s="224" t="s">
        <v>280</v>
      </c>
      <c r="E61" s="224">
        <v>900</v>
      </c>
      <c r="F61" s="224" t="s">
        <v>291</v>
      </c>
      <c r="G61" s="225" t="s">
        <v>7</v>
      </c>
      <c r="H61" s="226" t="s">
        <v>74</v>
      </c>
      <c r="I61" s="227" t="s">
        <v>426</v>
      </c>
      <c r="J61" s="227" t="str">
        <f ca="1">IF(D6&lt;=10,"Angle Seat Valve 1/2 inch","Ball Valve 1/2 inch")</f>
        <v>Ball Valve 1/2 inch</v>
      </c>
      <c r="K61" s="227" t="s">
        <v>73</v>
      </c>
      <c r="L61" s="225" t="s">
        <v>14</v>
      </c>
      <c r="M61" s="228" t="s">
        <v>393</v>
      </c>
      <c r="N61" s="229" t="s">
        <v>391</v>
      </c>
      <c r="O61" s="230" t="s">
        <v>392</v>
      </c>
      <c r="P61" s="227" t="s">
        <v>390</v>
      </c>
      <c r="Q61" s="231">
        <v>70</v>
      </c>
    </row>
    <row r="62" spans="1:17" s="221" customFormat="1" ht="30" customHeight="1" hidden="1">
      <c r="A62" s="290"/>
      <c r="B62" s="232">
        <v>2</v>
      </c>
      <c r="C62" s="233" t="s">
        <v>110</v>
      </c>
      <c r="D62" s="212" t="s">
        <v>280</v>
      </c>
      <c r="E62" s="212">
        <v>900</v>
      </c>
      <c r="F62" s="212" t="s">
        <v>291</v>
      </c>
      <c r="G62" s="213" t="s">
        <v>7</v>
      </c>
      <c r="H62" s="214" t="s">
        <v>75</v>
      </c>
      <c r="I62" s="215" t="s">
        <v>76</v>
      </c>
      <c r="J62" s="215" t="str">
        <f ca="1">IF(D6&lt;=10,"Angle Seat Valve 1/2 inch","Ball Valve 1/2 inch")</f>
        <v>Ball Valve 1/2 inch</v>
      </c>
      <c r="K62" s="215" t="s">
        <v>73</v>
      </c>
      <c r="L62" s="213" t="s">
        <v>14</v>
      </c>
      <c r="M62" s="216" t="s">
        <v>393</v>
      </c>
      <c r="N62" s="217" t="s">
        <v>391</v>
      </c>
      <c r="O62" s="218" t="s">
        <v>392</v>
      </c>
      <c r="P62" s="215" t="s">
        <v>394</v>
      </c>
      <c r="Q62" s="220">
        <v>90</v>
      </c>
    </row>
    <row r="63" spans="1:17" s="237" customFormat="1" ht="30" customHeight="1" hidden="1">
      <c r="A63" s="290"/>
      <c r="B63" s="234">
        <v>3</v>
      </c>
      <c r="C63" s="235" t="s">
        <v>111</v>
      </c>
      <c r="D63" s="213" t="s">
        <v>281</v>
      </c>
      <c r="E63" s="213">
        <v>1200</v>
      </c>
      <c r="F63" s="213" t="s">
        <v>291</v>
      </c>
      <c r="G63" s="213" t="s">
        <v>7</v>
      </c>
      <c r="H63" s="214" t="s">
        <v>77</v>
      </c>
      <c r="I63" s="215" t="s">
        <v>426</v>
      </c>
      <c r="J63" s="215" t="str">
        <f ca="1">IF(D1&lt;=10,"Angle Seat Valve 1/2","Ball Valve With Actuator 1/2")</f>
        <v>Angle Seat Valve 1/2</v>
      </c>
      <c r="K63" s="215" t="s">
        <v>436</v>
      </c>
      <c r="L63" s="213" t="s">
        <v>14</v>
      </c>
      <c r="M63" s="216" t="s">
        <v>393</v>
      </c>
      <c r="N63" s="217" t="s">
        <v>391</v>
      </c>
      <c r="O63" s="218" t="s">
        <v>437</v>
      </c>
      <c r="P63" s="213">
        <v>12</v>
      </c>
      <c r="Q63" s="219">
        <v>110</v>
      </c>
    </row>
    <row r="64" spans="1:17" s="221" customFormat="1" ht="30" customHeight="1" hidden="1">
      <c r="A64" s="290"/>
      <c r="B64" s="232">
        <v>4</v>
      </c>
      <c r="C64" s="233" t="s">
        <v>112</v>
      </c>
      <c r="D64" s="212" t="s">
        <v>281</v>
      </c>
      <c r="E64" s="212">
        <v>1700</v>
      </c>
      <c r="F64" s="212" t="s">
        <v>291</v>
      </c>
      <c r="G64" s="213" t="s">
        <v>7</v>
      </c>
      <c r="H64" s="214" t="s">
        <v>77</v>
      </c>
      <c r="I64" s="215" t="s">
        <v>63</v>
      </c>
      <c r="J64" s="215" t="str">
        <f ca="1">IF(D6&lt;=10,"Angle Seat Valve 1/2","Ball Valve With Actuator 1/2")</f>
        <v>Ball Valve With Actuator 1/2</v>
      </c>
      <c r="K64" s="215" t="s">
        <v>64</v>
      </c>
      <c r="L64" s="213" t="s">
        <v>12</v>
      </c>
      <c r="M64" s="216" t="s">
        <v>393</v>
      </c>
      <c r="N64" s="217" t="s">
        <v>391</v>
      </c>
      <c r="O64" s="218" t="s">
        <v>392</v>
      </c>
      <c r="P64" s="215" t="s">
        <v>395</v>
      </c>
      <c r="Q64" s="220">
        <v>130</v>
      </c>
    </row>
    <row r="65" spans="1:17" s="221" customFormat="1" ht="30" customHeight="1" hidden="1">
      <c r="A65" s="290"/>
      <c r="B65" s="232">
        <v>5</v>
      </c>
      <c r="C65" s="233" t="s">
        <v>113</v>
      </c>
      <c r="D65" s="212" t="s">
        <v>282</v>
      </c>
      <c r="E65" s="212">
        <v>1500</v>
      </c>
      <c r="F65" s="212" t="s">
        <v>292</v>
      </c>
      <c r="G65" s="213" t="s">
        <v>7</v>
      </c>
      <c r="H65" s="214" t="s">
        <v>77</v>
      </c>
      <c r="I65" s="215" t="s">
        <v>72</v>
      </c>
      <c r="J65" s="215" t="str">
        <f ca="1">IF(D6&lt;=10,"Angle Seat Valve 3/4 inch","Ball Valve With Actuator 3/4 inch")</f>
        <v>Ball Valve With Actuator 3/4 inch</v>
      </c>
      <c r="K65" s="215" t="s">
        <v>40</v>
      </c>
      <c r="L65" s="213" t="s">
        <v>13</v>
      </c>
      <c r="M65" s="215" t="s">
        <v>438</v>
      </c>
      <c r="N65" s="215" t="s">
        <v>24</v>
      </c>
      <c r="O65" s="215" t="s">
        <v>25</v>
      </c>
      <c r="P65" s="215" t="s">
        <v>396</v>
      </c>
      <c r="Q65" s="220">
        <v>150</v>
      </c>
    </row>
    <row r="66" spans="1:17" s="221" customFormat="1" ht="30" customHeight="1" hidden="1">
      <c r="A66" s="290"/>
      <c r="B66" s="234">
        <v>6</v>
      </c>
      <c r="C66" s="235" t="s">
        <v>114</v>
      </c>
      <c r="D66" s="213" t="s">
        <v>283</v>
      </c>
      <c r="E66" s="213">
        <v>1200</v>
      </c>
      <c r="F66" s="212" t="s">
        <v>292</v>
      </c>
      <c r="G66" s="213" t="s">
        <v>7</v>
      </c>
      <c r="H66" s="214" t="s">
        <v>38</v>
      </c>
      <c r="I66" s="215" t="s">
        <v>46</v>
      </c>
      <c r="J66" s="215" t="str">
        <f ca="1">IF(D6&lt;=10,"Angle Seat Valve 3/4 inch","Ball Valve With Actuator 3/4 inch")</f>
        <v>Ball Valve With Actuator 3/4 inch</v>
      </c>
      <c r="K66" s="215" t="s">
        <v>40</v>
      </c>
      <c r="L66" s="213" t="s">
        <v>13</v>
      </c>
      <c r="M66" s="215" t="s">
        <v>438</v>
      </c>
      <c r="N66" s="215" t="s">
        <v>24</v>
      </c>
      <c r="O66" s="215" t="s">
        <v>25</v>
      </c>
      <c r="P66" s="215" t="s">
        <v>45</v>
      </c>
      <c r="Q66" s="220">
        <v>245</v>
      </c>
    </row>
    <row r="67" spans="1:17" s="221" customFormat="1" ht="30" customHeight="1" hidden="1">
      <c r="A67" s="290"/>
      <c r="B67" s="232">
        <v>7</v>
      </c>
      <c r="C67" s="233" t="s">
        <v>115</v>
      </c>
      <c r="D67" s="213" t="s">
        <v>283</v>
      </c>
      <c r="E67" s="212">
        <v>1350</v>
      </c>
      <c r="F67" s="212" t="s">
        <v>292</v>
      </c>
      <c r="G67" s="213" t="s">
        <v>7</v>
      </c>
      <c r="H67" s="214" t="s">
        <v>38</v>
      </c>
      <c r="I67" s="215" t="s">
        <v>39</v>
      </c>
      <c r="J67" s="215" t="str">
        <f ca="1">IF(D6&lt;=10,"Angle Seat Valve 3/4 inch","Ball Valve With Actuator 3/4 inch")</f>
        <v>Ball Valve With Actuator 3/4 inch</v>
      </c>
      <c r="K67" s="215" t="s">
        <v>40</v>
      </c>
      <c r="L67" s="213" t="s">
        <v>13</v>
      </c>
      <c r="M67" s="215" t="s">
        <v>438</v>
      </c>
      <c r="N67" s="215" t="s">
        <v>24</v>
      </c>
      <c r="O67" s="215" t="s">
        <v>25</v>
      </c>
      <c r="P67" s="215" t="s">
        <v>37</v>
      </c>
      <c r="Q67" s="220">
        <v>245</v>
      </c>
    </row>
    <row r="68" spans="1:17" s="221" customFormat="1" ht="30" customHeight="1" hidden="1">
      <c r="A68" s="290"/>
      <c r="B68" s="232">
        <v>8</v>
      </c>
      <c r="C68" s="233" t="s">
        <v>116</v>
      </c>
      <c r="D68" s="213" t="s">
        <v>283</v>
      </c>
      <c r="E68" s="212">
        <v>1550</v>
      </c>
      <c r="F68" s="212" t="s">
        <v>292</v>
      </c>
      <c r="G68" s="213" t="s">
        <v>7</v>
      </c>
      <c r="H68" s="214" t="s">
        <v>397</v>
      </c>
      <c r="I68" s="215" t="s">
        <v>39</v>
      </c>
      <c r="J68" s="215" t="str">
        <f ca="1">IF(D6&lt;=10,"Angle Seat Valve 3/4 inch","Ball Valve With Actuator 3/4 inch")</f>
        <v>Ball Valve With Actuator 3/4 inch</v>
      </c>
      <c r="K68" s="215" t="s">
        <v>40</v>
      </c>
      <c r="L68" s="213" t="s">
        <v>13</v>
      </c>
      <c r="M68" s="215" t="s">
        <v>438</v>
      </c>
      <c r="N68" s="215" t="s">
        <v>24</v>
      </c>
      <c r="O68" s="215" t="s">
        <v>25</v>
      </c>
      <c r="P68" s="215" t="s">
        <v>47</v>
      </c>
      <c r="Q68" s="220">
        <v>255</v>
      </c>
    </row>
    <row r="69" spans="1:17" s="221" customFormat="1" ht="30" customHeight="1" hidden="1">
      <c r="A69" s="290"/>
      <c r="B69" s="232">
        <v>9</v>
      </c>
      <c r="C69" s="233" t="s">
        <v>117</v>
      </c>
      <c r="D69" s="212" t="s">
        <v>284</v>
      </c>
      <c r="E69" s="212">
        <v>1350</v>
      </c>
      <c r="F69" s="212" t="s">
        <v>224</v>
      </c>
      <c r="G69" s="213" t="s">
        <v>7</v>
      </c>
      <c r="H69" s="214" t="s">
        <v>398</v>
      </c>
      <c r="I69" s="215" t="s">
        <v>54</v>
      </c>
      <c r="J69" s="215" t="str">
        <f ca="1">IF(D6&lt;=10,"Angle Seat Valve 11/4 inch","Ball Valve With Actuator 11/4 inch")</f>
        <v>Ball Valve With Actuator 11/4 inch</v>
      </c>
      <c r="K69" s="215" t="s">
        <v>55</v>
      </c>
      <c r="L69" s="213" t="s">
        <v>56</v>
      </c>
      <c r="M69" s="215" t="s">
        <v>438</v>
      </c>
      <c r="N69" s="215" t="s">
        <v>24</v>
      </c>
      <c r="O69" s="215" t="s">
        <v>25</v>
      </c>
      <c r="P69" s="215" t="s">
        <v>399</v>
      </c>
      <c r="Q69" s="220">
        <v>255</v>
      </c>
    </row>
    <row r="70" spans="1:17" s="221" customFormat="1" ht="30" customHeight="1" hidden="1">
      <c r="A70" s="290"/>
      <c r="B70" s="232">
        <v>10</v>
      </c>
      <c r="C70" s="233" t="s">
        <v>118</v>
      </c>
      <c r="D70" s="212" t="s">
        <v>284</v>
      </c>
      <c r="E70" s="212">
        <v>1500</v>
      </c>
      <c r="F70" s="212" t="s">
        <v>224</v>
      </c>
      <c r="G70" s="213" t="s">
        <v>7</v>
      </c>
      <c r="H70" s="214" t="s">
        <v>78</v>
      </c>
      <c r="I70" s="215" t="s">
        <v>54</v>
      </c>
      <c r="J70" s="215" t="str">
        <f ca="1">IF(D6&lt;=10,"Angle Seat Valve 11/4 inch","Ball Valve With Actuator 11/4 inch")</f>
        <v>Ball Valve With Actuator 11/4 inch</v>
      </c>
      <c r="K70" s="215" t="s">
        <v>55</v>
      </c>
      <c r="L70" s="213" t="s">
        <v>56</v>
      </c>
      <c r="M70" s="215" t="s">
        <v>438</v>
      </c>
      <c r="N70" s="215" t="s">
        <v>24</v>
      </c>
      <c r="O70" s="215" t="s">
        <v>25</v>
      </c>
      <c r="P70" s="215" t="s">
        <v>79</v>
      </c>
      <c r="Q70" s="220">
        <v>255</v>
      </c>
    </row>
    <row r="71" spans="1:17" s="221" customFormat="1" ht="30" customHeight="1" hidden="1">
      <c r="A71" s="290"/>
      <c r="B71" s="232">
        <v>11</v>
      </c>
      <c r="C71" s="233" t="s">
        <v>119</v>
      </c>
      <c r="D71" s="212" t="s">
        <v>285</v>
      </c>
      <c r="E71" s="212">
        <v>1350</v>
      </c>
      <c r="F71" s="212" t="s">
        <v>224</v>
      </c>
      <c r="G71" s="213" t="s">
        <v>7</v>
      </c>
      <c r="H71" s="214" t="s">
        <v>80</v>
      </c>
      <c r="I71" s="215" t="s">
        <v>400</v>
      </c>
      <c r="J71" s="215" t="str">
        <f ca="1">IF(D6&lt;=10,"Angle Seat Valve 11/2 inch","Ball Valve With Actuator 11/2 inch")</f>
        <v>Ball Valve With Actuator 11/2 inch</v>
      </c>
      <c r="K71" s="215" t="s">
        <v>69</v>
      </c>
      <c r="L71" s="215" t="s">
        <v>65</v>
      </c>
      <c r="M71" s="215" t="s">
        <v>438</v>
      </c>
      <c r="N71" s="215" t="s">
        <v>24</v>
      </c>
      <c r="O71" s="215" t="s">
        <v>25</v>
      </c>
      <c r="P71" s="213" t="s">
        <v>79</v>
      </c>
      <c r="Q71" s="219">
        <v>355</v>
      </c>
    </row>
    <row r="72" spans="1:17" s="237" customFormat="1" ht="30" customHeight="1" hidden="1">
      <c r="A72" s="290"/>
      <c r="B72" s="234">
        <v>12</v>
      </c>
      <c r="C72" s="235" t="s">
        <v>136</v>
      </c>
      <c r="D72" s="213" t="s">
        <v>286</v>
      </c>
      <c r="E72" s="213">
        <v>1200</v>
      </c>
      <c r="F72" s="213" t="s">
        <v>224</v>
      </c>
      <c r="G72" s="213" t="s">
        <v>7</v>
      </c>
      <c r="H72" s="214" t="s">
        <v>67</v>
      </c>
      <c r="I72" s="215" t="s">
        <v>68</v>
      </c>
      <c r="J72" s="215" t="str">
        <f ca="1">IF(D6&lt;=10,"Angle Seat Valve 11/2 inch","Ball Valve With Actuator 11/2 inch")</f>
        <v>Ball Valve With Actuator 11/2 inch</v>
      </c>
      <c r="K72" s="215" t="s">
        <v>69</v>
      </c>
      <c r="L72" s="215" t="s">
        <v>65</v>
      </c>
      <c r="M72" s="215" t="s">
        <v>438</v>
      </c>
      <c r="N72" s="215" t="s">
        <v>24</v>
      </c>
      <c r="O72" s="215" t="s">
        <v>25</v>
      </c>
      <c r="P72" s="215" t="s">
        <v>66</v>
      </c>
      <c r="Q72" s="220">
        <v>400</v>
      </c>
    </row>
    <row r="73" spans="1:17" s="221" customFormat="1" ht="30" customHeight="1" hidden="1">
      <c r="A73" s="290"/>
      <c r="B73" s="232">
        <v>13</v>
      </c>
      <c r="C73" s="233" t="s">
        <v>121</v>
      </c>
      <c r="D73" s="212" t="s">
        <v>287</v>
      </c>
      <c r="E73" s="212">
        <v>1300</v>
      </c>
      <c r="F73" s="212" t="s">
        <v>224</v>
      </c>
      <c r="G73" s="213" t="s">
        <v>7</v>
      </c>
      <c r="H73" s="214" t="s">
        <v>401</v>
      </c>
      <c r="I73" s="215" t="s">
        <v>459</v>
      </c>
      <c r="J73" s="215" t="s">
        <v>68</v>
      </c>
      <c r="K73" s="215" t="s">
        <v>62</v>
      </c>
      <c r="L73" s="215" t="s">
        <v>58</v>
      </c>
      <c r="M73" s="215" t="s">
        <v>438</v>
      </c>
      <c r="N73" s="215" t="s">
        <v>24</v>
      </c>
      <c r="O73" s="215" t="s">
        <v>25</v>
      </c>
      <c r="P73" s="215" t="s">
        <v>81</v>
      </c>
      <c r="Q73" s="220">
        <v>600</v>
      </c>
    </row>
    <row r="74" spans="1:17" s="221" customFormat="1" ht="30" customHeight="1" hidden="1">
      <c r="A74" s="290"/>
      <c r="B74" s="234">
        <v>14</v>
      </c>
      <c r="C74" s="235" t="s">
        <v>122</v>
      </c>
      <c r="D74" s="213" t="s">
        <v>287</v>
      </c>
      <c r="E74" s="213">
        <v>1600</v>
      </c>
      <c r="F74" s="213" t="s">
        <v>224</v>
      </c>
      <c r="G74" s="213" t="s">
        <v>7</v>
      </c>
      <c r="H74" s="214" t="s">
        <v>60</v>
      </c>
      <c r="I74" s="215" t="s">
        <v>435</v>
      </c>
      <c r="J74" s="215" t="s">
        <v>61</v>
      </c>
      <c r="K74" s="215" t="s">
        <v>62</v>
      </c>
      <c r="L74" s="213" t="s">
        <v>58</v>
      </c>
      <c r="M74" s="215" t="s">
        <v>438</v>
      </c>
      <c r="N74" s="215" t="s">
        <v>24</v>
      </c>
      <c r="O74" s="215" t="s">
        <v>25</v>
      </c>
      <c r="P74" s="215" t="s">
        <v>59</v>
      </c>
      <c r="Q74" s="220">
        <v>700</v>
      </c>
    </row>
    <row r="75" spans="1:17" s="221" customFormat="1" ht="30" customHeight="1" hidden="1">
      <c r="A75" s="290"/>
      <c r="B75" s="232">
        <v>15</v>
      </c>
      <c r="C75" s="233" t="s">
        <v>123</v>
      </c>
      <c r="D75" s="212" t="s">
        <v>288</v>
      </c>
      <c r="E75" s="212">
        <v>1200</v>
      </c>
      <c r="F75" s="212" t="s">
        <v>224</v>
      </c>
      <c r="G75" s="213" t="s">
        <v>7</v>
      </c>
      <c r="H75" s="215" t="s">
        <v>445</v>
      </c>
      <c r="I75" s="215" t="s">
        <v>44</v>
      </c>
      <c r="J75" s="215" t="s">
        <v>43</v>
      </c>
      <c r="K75" s="215" t="s">
        <v>42</v>
      </c>
      <c r="L75" s="215" t="s">
        <v>3</v>
      </c>
      <c r="M75" s="215" t="s">
        <v>438</v>
      </c>
      <c r="N75" s="215" t="s">
        <v>24</v>
      </c>
      <c r="O75" s="215" t="s">
        <v>25</v>
      </c>
      <c r="P75" s="215" t="s">
        <v>41</v>
      </c>
      <c r="Q75" s="220">
        <v>800</v>
      </c>
    </row>
    <row r="76" spans="1:17" s="221" customFormat="1" ht="30" customHeight="1" hidden="1">
      <c r="A76" s="290"/>
      <c r="B76" s="232">
        <v>16</v>
      </c>
      <c r="C76" s="233" t="s">
        <v>124</v>
      </c>
      <c r="D76" s="212" t="s">
        <v>289</v>
      </c>
      <c r="E76" s="212">
        <v>1200</v>
      </c>
      <c r="F76" s="212" t="s">
        <v>224</v>
      </c>
      <c r="G76" s="213" t="s">
        <v>7</v>
      </c>
      <c r="H76" s="214" t="s">
        <v>17</v>
      </c>
      <c r="I76" s="214" t="s">
        <v>27</v>
      </c>
      <c r="J76" s="215" t="s">
        <v>28</v>
      </c>
      <c r="K76" s="214" t="s">
        <v>29</v>
      </c>
      <c r="L76" s="215" t="s">
        <v>3</v>
      </c>
      <c r="M76" s="215" t="s">
        <v>438</v>
      </c>
      <c r="N76" s="215" t="s">
        <v>24</v>
      </c>
      <c r="O76" s="215" t="s">
        <v>25</v>
      </c>
      <c r="P76" s="215" t="s">
        <v>36</v>
      </c>
      <c r="Q76" s="220">
        <v>900</v>
      </c>
    </row>
    <row r="77" spans="1:24" s="221" customFormat="1" ht="30" customHeight="1" hidden="1">
      <c r="A77" s="290"/>
      <c r="B77" s="232">
        <v>17</v>
      </c>
      <c r="C77" s="233" t="s">
        <v>125</v>
      </c>
      <c r="D77" s="212" t="s">
        <v>289</v>
      </c>
      <c r="E77" s="212">
        <v>1500</v>
      </c>
      <c r="F77" s="212" t="s">
        <v>224</v>
      </c>
      <c r="G77" s="213" t="s">
        <v>7</v>
      </c>
      <c r="H77" s="214" t="s">
        <v>83</v>
      </c>
      <c r="I77" s="215" t="s">
        <v>44</v>
      </c>
      <c r="J77" s="215" t="s">
        <v>435</v>
      </c>
      <c r="K77" s="214" t="s">
        <v>29</v>
      </c>
      <c r="L77" s="213" t="s">
        <v>3</v>
      </c>
      <c r="M77" s="215" t="s">
        <v>438</v>
      </c>
      <c r="N77" s="215" t="s">
        <v>24</v>
      </c>
      <c r="O77" s="215" t="s">
        <v>25</v>
      </c>
      <c r="P77" s="215" t="s">
        <v>82</v>
      </c>
      <c r="Q77" s="220">
        <f ca="1">1150</f>
        <v>1150</v>
      </c>
      <c r="S77" s="236"/>
      <c r="T77" s="311" t="s">
        <v>388</v>
      </c>
      <c r="U77" s="311"/>
      <c r="V77" s="311"/>
      <c r="W77" s="311"/>
      <c r="X77" s="311"/>
    </row>
    <row r="78" spans="1:17" s="221" customFormat="1" ht="30" customHeight="1" hidden="1">
      <c r="A78" s="290"/>
      <c r="B78" s="232">
        <v>18</v>
      </c>
      <c r="C78" s="233" t="s">
        <v>126</v>
      </c>
      <c r="D78" s="212" t="s">
        <v>290</v>
      </c>
      <c r="E78" s="212">
        <v>1200</v>
      </c>
      <c r="F78" s="212" t="s">
        <v>224</v>
      </c>
      <c r="G78" s="213" t="s">
        <v>7</v>
      </c>
      <c r="H78" s="214" t="s">
        <v>30</v>
      </c>
      <c r="I78" s="215" t="s">
        <v>31</v>
      </c>
      <c r="J78" s="215" t="s">
        <v>435</v>
      </c>
      <c r="K78" s="215" t="s">
        <v>32</v>
      </c>
      <c r="L78" s="213" t="s">
        <v>9</v>
      </c>
      <c r="M78" s="215" t="s">
        <v>438</v>
      </c>
      <c r="N78" s="215" t="s">
        <v>24</v>
      </c>
      <c r="O78" s="215" t="s">
        <v>25</v>
      </c>
      <c r="P78" s="215" t="s">
        <v>35</v>
      </c>
      <c r="Q78" s="220">
        <v>1400</v>
      </c>
    </row>
    <row r="79" spans="1:17" s="221" customFormat="1" ht="30" customHeight="1" hidden="1">
      <c r="A79" s="290"/>
      <c r="B79" s="232">
        <v>19</v>
      </c>
      <c r="C79" s="233" t="s">
        <v>127</v>
      </c>
      <c r="D79" s="212">
        <v>650</v>
      </c>
      <c r="E79" s="212">
        <v>1200</v>
      </c>
      <c r="F79" s="213" t="s">
        <v>7</v>
      </c>
      <c r="G79" s="213">
        <f ca="1">'Vessel Weights'!$D$21</f>
        <v>10</v>
      </c>
      <c r="H79" s="214" t="s">
        <v>49</v>
      </c>
      <c r="I79" s="215" t="s">
        <v>31</v>
      </c>
      <c r="J79" s="215" t="s">
        <v>44</v>
      </c>
      <c r="K79" s="215" t="s">
        <v>32</v>
      </c>
      <c r="L79" s="213" t="s">
        <v>9</v>
      </c>
      <c r="M79" s="215" t="s">
        <v>438</v>
      </c>
      <c r="N79" s="215" t="s">
        <v>24</v>
      </c>
      <c r="O79" s="215" t="s">
        <v>25</v>
      </c>
      <c r="P79" s="215" t="s">
        <v>48</v>
      </c>
      <c r="Q79" s="220">
        <v>1500</v>
      </c>
    </row>
    <row r="80" spans="1:17" s="237" customFormat="1" ht="30" customHeight="1" hidden="1">
      <c r="A80" s="290"/>
      <c r="B80" s="232">
        <v>20</v>
      </c>
      <c r="C80" s="233" t="s">
        <v>128</v>
      </c>
      <c r="D80" s="212">
        <v>700</v>
      </c>
      <c r="E80" s="212">
        <v>1200</v>
      </c>
      <c r="F80" s="213" t="s">
        <v>7</v>
      </c>
      <c r="G80" s="213">
        <f ca="1">'Vessel Weights'!$D$21</f>
        <v>10</v>
      </c>
      <c r="H80" s="214" t="s">
        <v>51</v>
      </c>
      <c r="I80" s="215" t="s">
        <v>52</v>
      </c>
      <c r="J80" s="215" t="s">
        <v>31</v>
      </c>
      <c r="K80" s="215" t="s">
        <v>53</v>
      </c>
      <c r="L80" s="213" t="s">
        <v>4</v>
      </c>
      <c r="M80" s="215" t="s">
        <v>438</v>
      </c>
      <c r="N80" s="215" t="s">
        <v>24</v>
      </c>
      <c r="O80" s="215" t="s">
        <v>25</v>
      </c>
      <c r="P80" s="215" t="s">
        <v>50</v>
      </c>
      <c r="Q80" s="220">
        <f ca="1">MAX((2*('Vessel Weights'!T75+'Vessel Weights'!P59+'Vessel Weights'!P62+'Vessel Weights'!P65+'Vessel Weights'!P68))+$P$80,2400)</f>
        <v>2687.7612890259434</v>
      </c>
    </row>
    <row r="81" spans="1:17" s="237" customFormat="1" ht="30" customHeight="1" hidden="1">
      <c r="A81" s="290"/>
      <c r="B81" s="232">
        <v>21</v>
      </c>
      <c r="C81" s="233" t="s">
        <v>129</v>
      </c>
      <c r="D81" s="212">
        <v>800</v>
      </c>
      <c r="E81" s="212">
        <v>1560</v>
      </c>
      <c r="F81" s="213" t="s">
        <v>7</v>
      </c>
      <c r="G81" s="213">
        <f ca="1">'Vessel Weights'!$D$21</f>
        <v>10</v>
      </c>
      <c r="H81" s="214" t="s">
        <v>429</v>
      </c>
      <c r="I81" s="215" t="s">
        <v>52</v>
      </c>
      <c r="J81" s="215" t="s">
        <v>31</v>
      </c>
      <c r="K81" s="215" t="s">
        <v>57</v>
      </c>
      <c r="L81" s="213" t="s">
        <v>4</v>
      </c>
      <c r="M81" s="215" t="s">
        <v>438</v>
      </c>
      <c r="N81" s="215" t="s">
        <v>24</v>
      </c>
      <c r="O81" s="215" t="s">
        <v>25</v>
      </c>
      <c r="P81" s="215" t="s">
        <v>428</v>
      </c>
      <c r="Q81" s="220">
        <f ca="1">MAX((2*('Vessel Weights'!T75+'Vessel Weights'!P59+'Vessel Weights'!P62+'Vessel Weights'!P65+'Vessel Weights'!P68))+P81,3500)</f>
        <v>3500</v>
      </c>
    </row>
    <row r="82" spans="1:18" s="238" customFormat="1" ht="30" customHeight="1" hidden="1">
      <c r="A82" s="290"/>
      <c r="B82" s="232">
        <v>22</v>
      </c>
      <c r="C82" s="233" t="s">
        <v>130</v>
      </c>
      <c r="D82" s="212">
        <v>900</v>
      </c>
      <c r="E82" s="212">
        <v>1500</v>
      </c>
      <c r="F82" s="213" t="s">
        <v>7</v>
      </c>
      <c r="G82" s="213">
        <f ca="1">'Vessel Weights'!$D$21</f>
        <v>10</v>
      </c>
      <c r="H82" s="214" t="s">
        <v>84</v>
      </c>
      <c r="I82" s="215" t="s">
        <v>458</v>
      </c>
      <c r="J82" s="215" t="s">
        <v>460</v>
      </c>
      <c r="K82" s="215" t="s">
        <v>70</v>
      </c>
      <c r="L82" s="213" t="s">
        <v>11</v>
      </c>
      <c r="M82" s="215" t="s">
        <v>438</v>
      </c>
      <c r="N82" s="215" t="s">
        <v>24</v>
      </c>
      <c r="O82" s="215" t="s">
        <v>25</v>
      </c>
      <c r="P82" s="215" t="s">
        <v>71</v>
      </c>
      <c r="Q82" s="220">
        <f ca="1">MAX(2*('Vessel Weights'!T75+'Vessel Weights'!P59+'Vessel Weights'!P62+'Vessel Weights'!P65+'Vessel Weights'!P68)+P82,4000)</f>
        <v>4000</v>
      </c>
      <c r="R82" s="237"/>
    </row>
    <row r="83" spans="1:17" s="221" customFormat="1" ht="30" customHeight="1" hidden="1">
      <c r="A83" s="290"/>
      <c r="B83" s="232">
        <v>23</v>
      </c>
      <c r="C83" s="233" t="s">
        <v>131</v>
      </c>
      <c r="D83" s="212">
        <v>1000</v>
      </c>
      <c r="E83" s="212">
        <v>1800</v>
      </c>
      <c r="F83" s="213" t="s">
        <v>7</v>
      </c>
      <c r="G83" s="213">
        <f ca="1">'Vessel Weights'!$D$21</f>
        <v>10</v>
      </c>
      <c r="H83" s="214" t="s">
        <v>403</v>
      </c>
      <c r="I83" s="215" t="s">
        <v>458</v>
      </c>
      <c r="J83" s="215" t="s">
        <v>460</v>
      </c>
      <c r="K83" s="215" t="s">
        <v>404</v>
      </c>
      <c r="L83" s="213" t="s">
        <v>11</v>
      </c>
      <c r="M83" s="215" t="s">
        <v>438</v>
      </c>
      <c r="N83" s="215" t="s">
        <v>24</v>
      </c>
      <c r="O83" s="215" t="s">
        <v>25</v>
      </c>
      <c r="P83" s="215" t="s">
        <v>405</v>
      </c>
      <c r="Q83" s="220">
        <f ca="1">MAX(2*('Vessel Weights'!T75+'Vessel Weights'!P59+'Vessel Weights'!P62+'Vessel Weights'!P65+'Vessel Weights'!P68)+P83,4800)</f>
        <v>4800</v>
      </c>
    </row>
    <row r="84" spans="1:19" s="221" customFormat="1" ht="30" customHeight="1" hidden="1">
      <c r="A84" s="290"/>
      <c r="B84" s="234">
        <v>24</v>
      </c>
      <c r="C84" s="235" t="s">
        <v>132</v>
      </c>
      <c r="D84" s="213">
        <v>1000</v>
      </c>
      <c r="E84" s="213">
        <v>2300</v>
      </c>
      <c r="F84" s="213" t="s">
        <v>7</v>
      </c>
      <c r="G84" s="213">
        <f ca="1">'Vessel Weights'!$D$21</f>
        <v>10</v>
      </c>
      <c r="H84" s="214" t="s">
        <v>416</v>
      </c>
      <c r="I84" s="215" t="s">
        <v>417</v>
      </c>
      <c r="J84" s="215" t="s">
        <v>31</v>
      </c>
      <c r="K84" s="215" t="s">
        <v>418</v>
      </c>
      <c r="L84" s="213" t="s">
        <v>11</v>
      </c>
      <c r="M84" s="215" t="s">
        <v>438</v>
      </c>
      <c r="N84" s="215" t="s">
        <v>24</v>
      </c>
      <c r="O84" s="215" t="s">
        <v>25</v>
      </c>
      <c r="P84" s="212">
        <v>2400</v>
      </c>
      <c r="Q84" s="239">
        <f ca="1">MAX(2*('Vessel Weights'!T75+'Vessel Weights'!P59+'Vessel Weights'!P62+'Vessel Weights'!P65+'Vessel Weights'!P68)+P84,6000)</f>
        <v>6000</v>
      </c>
      <c r="S84" s="240"/>
    </row>
    <row r="85" spans="1:17" s="221" customFormat="1" ht="30" customHeight="1" hidden="1" thickBot="1">
      <c r="A85" s="290"/>
      <c r="B85" s="241">
        <v>25</v>
      </c>
      <c r="C85" s="242" t="s">
        <v>133</v>
      </c>
      <c r="D85" s="243">
        <v>1250</v>
      </c>
      <c r="E85" s="243">
        <v>1500</v>
      </c>
      <c r="F85" s="244" t="s">
        <v>7</v>
      </c>
      <c r="G85" s="244">
        <f ca="1">'Vessel Weights'!$D$21</f>
        <v>10</v>
      </c>
      <c r="H85" s="245" t="s">
        <v>85</v>
      </c>
      <c r="I85" s="246" t="s">
        <v>86</v>
      </c>
      <c r="J85" s="246" t="s">
        <v>87</v>
      </c>
      <c r="K85" s="246" t="s">
        <v>88</v>
      </c>
      <c r="L85" s="243" t="s">
        <v>423</v>
      </c>
      <c r="M85" s="246" t="s">
        <v>438</v>
      </c>
      <c r="N85" s="246" t="s">
        <v>24</v>
      </c>
      <c r="O85" s="246" t="s">
        <v>25</v>
      </c>
      <c r="P85" s="243">
        <v>2410</v>
      </c>
      <c r="Q85" s="247">
        <f ca="1">MAX(2*('Vessel Weights'!T75+'Vessel Weights'!P59+'Vessel Weights'!P62+'Vessel Weights'!P65+'Vessel Weights'!P68)+P85,5710)</f>
        <v>5710</v>
      </c>
    </row>
    <row r="86" spans="1:1" ht="19.9" customHeight="1" hidden="1">
      <c r="A86" s="289"/>
    </row>
    <row r="87" spans="1:27" ht="19.9" customHeight="1" hidden="1" thickBot="1">
      <c r="A87" s="289"/>
      <c r="X87" s="299"/>
      <c r="Y87" s="299"/>
      <c r="Z87" s="299"/>
      <c r="AA87" s="299"/>
    </row>
    <row r="88" spans="1:27" ht="19.9" customHeight="1" hidden="1">
      <c r="A88" s="289"/>
      <c r="B88" s="354" t="s">
        <v>8</v>
      </c>
      <c r="C88" s="355"/>
      <c r="D88" s="355"/>
      <c r="E88" s="355"/>
      <c r="F88" s="355"/>
      <c r="G88" s="355"/>
      <c r="H88" s="355"/>
      <c r="I88" s="355"/>
      <c r="J88" s="355"/>
      <c r="K88" s="355"/>
      <c r="L88" s="355"/>
      <c r="M88" s="355"/>
      <c r="N88" s="355"/>
      <c r="O88" s="355"/>
      <c r="P88" s="355"/>
      <c r="Q88" s="356"/>
      <c r="Z88" s="299"/>
      <c r="AA88" s="299"/>
    </row>
    <row r="89" spans="1:17" ht="19.9" customHeight="1" hidden="1" thickBot="1">
      <c r="A89" s="289"/>
      <c r="B89" s="357"/>
      <c r="C89" s="358"/>
      <c r="D89" s="358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9"/>
    </row>
    <row r="90" spans="1:25" ht="19.9" customHeight="1" hidden="1" thickBot="1">
      <c r="A90" s="289"/>
      <c r="B90" s="302" t="s">
        <v>2</v>
      </c>
      <c r="C90" s="303" t="s">
        <v>0</v>
      </c>
      <c r="D90" s="304" t="s">
        <v>372</v>
      </c>
      <c r="E90" s="305" t="s">
        <v>10</v>
      </c>
      <c r="F90" s="306" t="s">
        <v>1</v>
      </c>
      <c r="G90" s="307"/>
      <c r="H90" s="312" t="s">
        <v>15</v>
      </c>
      <c r="I90" s="305" t="s">
        <v>18</v>
      </c>
      <c r="J90" s="305" t="s">
        <v>19</v>
      </c>
      <c r="K90" s="305" t="s">
        <v>20</v>
      </c>
      <c r="L90" s="314" t="s">
        <v>21</v>
      </c>
      <c r="M90" s="304"/>
      <c r="N90" s="304"/>
      <c r="O90" s="315"/>
      <c r="P90" s="305" t="s">
        <v>33</v>
      </c>
      <c r="Q90" s="305" t="s">
        <v>387</v>
      </c>
      <c r="X90" s="299"/>
      <c r="Y90" s="299"/>
    </row>
    <row r="91" spans="1:25" ht="19.9" customHeight="1" hidden="1" thickBot="1">
      <c r="A91" s="289"/>
      <c r="B91" s="302"/>
      <c r="C91" s="303"/>
      <c r="D91" s="304"/>
      <c r="E91" s="305"/>
      <c r="F91" s="47" t="s">
        <v>209</v>
      </c>
      <c r="G91" s="48" t="s">
        <v>446</v>
      </c>
      <c r="H91" s="313"/>
      <c r="I91" s="305"/>
      <c r="J91" s="305"/>
      <c r="K91" s="305"/>
      <c r="L91" s="316"/>
      <c r="M91" s="317"/>
      <c r="N91" s="317"/>
      <c r="O91" s="318"/>
      <c r="P91" s="310"/>
      <c r="Q91" s="310"/>
      <c r="X91" s="299"/>
      <c r="Y91" s="299"/>
    </row>
    <row r="92" spans="1:25" ht="19.9" customHeight="1" hidden="1" thickBot="1">
      <c r="A92" s="289"/>
      <c r="B92" s="352"/>
      <c r="C92" s="353"/>
      <c r="D92" s="317"/>
      <c r="E92" s="310"/>
      <c r="F92" s="49" t="s">
        <v>5</v>
      </c>
      <c r="G92" s="50" t="s">
        <v>6</v>
      </c>
      <c r="H92" s="4" t="s">
        <v>16</v>
      </c>
      <c r="I92" s="310"/>
      <c r="J92" s="310"/>
      <c r="K92" s="316"/>
      <c r="L92" s="3" t="s">
        <v>26</v>
      </c>
      <c r="M92" s="6" t="s">
        <v>22</v>
      </c>
      <c r="N92" s="3" t="s">
        <v>0</v>
      </c>
      <c r="O92" s="5" t="s">
        <v>23</v>
      </c>
      <c r="P92" s="5" t="s">
        <v>34</v>
      </c>
      <c r="Q92" s="79" t="s">
        <v>34</v>
      </c>
      <c r="X92" s="299"/>
      <c r="Y92" s="299"/>
    </row>
    <row r="93" spans="1:25" ht="45" customHeight="1" hidden="1" thickBot="1">
      <c r="A93" s="289"/>
      <c r="B93" s="251">
        <v>1</v>
      </c>
      <c r="C93" s="252" t="str">
        <f ca="1">$G$53</f>
        <v>HDT-800</v>
      </c>
      <c r="D93" s="253">
        <f ca="1">IF($C$93=C61,D61,IF($C$93=C62,D62,IF($C$93=C63,D63,IF($C$93=C64,D64,IF($C$93=C65,D65,IF($C$93=C66,D66,IF($C$93=C67,D67,IF($C$93=C68,D68,IF($C$93=C69,D69,IF($C$93=C70,D70,IF($C$93=C71,D71,IF($C$93=C73,D73,IF($C$93=C74,D74,IF($C$93=C75,D75,IF($C$93=C76,D76,IF($C$93=C77,D77,IF($C$93=C78,D78,IF($C$93=C79,D79,IF($C$93=C80,D80,IF($C$93=C81,D81,IF($C$93=C82,D82,IF($C$93=C83,D83,IF($C$93=C84,D84,IF($C$93=C85,D85,D72))))))))))))))))))))))))</f>
        <v>900</v>
      </c>
      <c r="E93" s="252">
        <f ca="1">IF($C$93=C61,E61,IF($C$93=C62,E62,IF($C$93=C63,E63,IF($C$93=C64,E64,IF($C$93=C65,E65,IF($C$93=C66,E66,IF($C$93=C67,E67,IF($C$93=C68,E68,IF($C$93=C69,E69,IF($C$93=C70,E70,IF($C$93=C71,E71,IF($C$93=C73,E73,IF($C$93=C74,E74,IF($C$93=C75,E75,IF($C$93=C76,E76,IF($C$93=C77,E77,IF($C$93=C78,E78,IF($C$93=C79,E79,IF($C$93=C80,E80,IF($C$93=C81,E81,IF($C$93=C82,E82,IF($C$93=C83,E83,IF($C$93=C84,E84,IF($C$93=C85,E85,E72))))))))))))))))))))))))</f>
        <v>1500</v>
      </c>
      <c r="F93" s="253" t="str">
        <f ca="1">IF($C$93=C61,F61,IF($C$93=C62,F62,IF($C$93=C63,F63,IF($C$93=C64,F64,IF($C$93=C65,F65,IF($C$93=C66,F66,IF($C$93=C67,F67,IF($C$93=C68,F68,IF($C$93=C69,F69,IF($C$93=C70,F70,IF($C$93=C71,F71,IF($C$93=C73,F73,IF($C$93=C74,F74,IF($C$93=C75,F75,IF($C$93=C76,F76,IF($C$93=C77,F77,IF($C$93=C78,F78,IF($C$93=C79,F79,IF($C$93=C80,F80,IF($C$93=C81,F81,IF($C$93=C82,F82,IF($C$93=C83,F83,IF($C$93=C84,F84,IF($C$93=C85,F85,F72))))))))))))))))))))))))</f>
        <v>-</v>
      </c>
      <c r="G93" s="255">
        <f ca="1">IF(C93=C61,G61,IF(C93=C62,G62,IF(C93=C63,G63,IF(C93=C64,G64,IF(C93=C65,G65,IF(C93=C66,G66,IF(C93=C67,G67,IF(C93=C68,G68,IF(C93=C69,G69,IF(C93=C70,G70,IF(C93=C71,G71,IF(C93=C73,G73,IF(C93=C74,G74,IF(C93=C75,G75,IF(C93=C76,G76,IF(C93=C77,G77,IF(C93=C78,G78,IF(C93=C79,G79,IF(C93=C80,G80,IF(C93=C81,G81,IF(C93=C82,G82,IF(C93=C83,G83,IF($C$93=C84,G84,IF($C$93=C85,G85,G72))))))))))))))))))))))))</f>
        <v>10</v>
      </c>
      <c r="H93" s="254" t="str">
        <f ca="1">IF(C93=C61,H61,IF(C93=C62,H62,IF(C93=C63,H63,IF(C93=C64,H64,IF(C93=C65,H65,IF(C93=C66,H66,IF(C93=C67,H67,IF(C93=C68,H68,IF(C93=C69,H69,IF(C93=C70,H70,IF(C93=C71,H71,IF(C93=C73,H73,IF(C93=C74,H74,IF(C93=C75,H75,IF(C93=C76,H76,IF(C93=C77,H77,IF(C93=C78,H78,IF(C93=C79,H79,IF(C93=C80,H80,IF(C93=C81,H81,IF(C93=C82,H82,IF(C93=C83,H83,IF($C$93=C84,H84,IF($C$93=C85,H85,H72))))))))))))))))))))))))</f>
        <v>2800 x 2800 x 3500 (Approx.)</v>
      </c>
      <c r="I93" s="257" t="str">
        <f ca="1">IF(C93=C61,I61,IF(C93=C62,I62,IF(C93=C63,I63,IF(C93=C64,I64,IF(C93=C65,I65,IF(C93=C66,I66,IF(C93=C67,I67,IF(C93=C68,I68,IF(C93=C69,I69,IF(C93=C70,I70,IF(C93=C71,I71,IF(C93=C73,I73,IF(C93=C74,I74,IF(C93=C75,I75,IF(C93=C76,I76,IF(C93=C77,I77,IF(C93=C78,I78,IF(C93=C79,I79,IF(C93=C80,I80,IF(C93=C81,I81,IF(C93=C82,I82,IF(C93=C83,I83,IF($C$93=C84,I84,IF($C$93=C85,I85,I72))))))))))))))))))))))))</f>
        <v>Butterfly Valve with Acctuator 6"</v>
      </c>
      <c r="J93" s="256" t="str">
        <f ca="1">IF(C93=C61,J61,IF(C93=C62,J62,IF(C93=C63,J63,IF(C93=C64,J64,IF(C93=C65,J65,IF(C93=C66,J66,IF(C93=C67,J67,IF(C93=C68,J68,IF(C93=C69,J69,IF(C93=C70,J70,IF(C93=C71,J71,IF(C93=C73,J73,IF(C93=C74,J74,IF(C93=C75,J75,IF(C93=C76,J76,IF(C93=C77,J77,IF(C93=C78,J78,IF(C93=C79,J79,IF(C93=C80,J80,IF(C93=C81,J81,IF(C93=C82,J82,IF(C93=C83,J83,IF($C$93=C84,J84,IF($C$93=C85,J85,J72))))))))))))))))))))))))</f>
        <v>Butterfly Valve with acctuator 4"</v>
      </c>
      <c r="K93" s="257" t="str">
        <f ca="1">IF(C93=C61,K61,IF(C93=C62,K62,IF(C93=C63,K63,IF(C93=C64,K64,IF(C93=C65,K65,IF(C93=C66,K66,IF(C93=C67,K67,IF(C93=C68,K68,IF(C93=C69,K69,IF(C93=C70,K70,IF(C93=C71,K71,IF(C93=C73,K73,IF(C93=C74,K74,IF(C93=C75,K75,IF(C93=C76,K76,IF(C93=C77,K77,IF(C93=C78,K78,IF(C93=C79,K79,IF(C93=C80,K80,IF(C93=C81,K81,IF(C93=C82,K82,IF(C93=C83,K83,IF($C$93=C84,K84,IF($C$93=C85,K85,K72))))))))))))))))))))))))</f>
        <v>Check Valve 6"</v>
      </c>
      <c r="L93" s="260" t="str">
        <f ca="1">IF(C93=C61,L61,IF(C93=C62,L62,IF(C93=C63,L63,IF(C93=C64,L64,IF(C93=C65,L65,IF(C93=C66,L66,IF(C93=C67,L67,IF(C93=C68,L68,IF(C93=C69,L69,IF(C93=C70,L70,IF(C93=C71,L71,IF(C93=C73,L73,IF(C93=C74,L74,IF(C93=C75,L75,IF(C93=C76,L76,IF(C93=C77,L77,IF(C93=C78,L78,IF(C93=C79,L79,IF(C93=C80,L80,IF(C93=C81,L81,IF(C93=C82,L82,IF(C93=C83,L83,IF($C$93=C84,L84,IF($C$93=C85,L85,L72))))))))))))))))))))))))</f>
        <v>6"</v>
      </c>
      <c r="M93" s="54" t="str">
        <f ca="1">IF(C93=C61,M61,IF(C93=C62,M62,IF(C93=C63,M63,IF(C93=C64,M64,IF(C93=C65,M65,IF(C93=C66,M66,IF(C93=C67,M67,IF(C93=C68,M68,IF(C93=C69,M69,IF(C93=C70,M70,IF(C93=C71,M71,IF(C93=C73,M73,IF(C93=C74,M74,IF(C93=C75,M75,IF(C93=C76,M76,IF(C93=C77,M77,IF(C93=C78,M78,IF(C93=C79,M79,IF(C93=C80,M80,IF(C93=C81,M81,IF(C93=C82,M82,IF(C93=C83,M83,IF($C$93=C84,M84,IF($C$93=C85,M85,M72))))))))))))))))))))))))</f>
        <v> SA-106 Gr.B / SA-105</v>
      </c>
      <c r="N93" s="54" t="str">
        <f ca="1">IF(C93=C61,N61,IF(C93=C62,N62,IF(C93=C63,N63,IF(C93=C64,N64,IF(C93=C65,N65,IF(C93=C66,N66,IF(C93=C67,N67,IF(C93=C68,N68,IF(C93=C69,N69,IF(C93=C70,N70,IF(C93=C71,N71,IF(C93=C73,N73,IF(C93=C74,N74,IF(C93=C75,N75,IF(C93=C76,N76,IF(C93=C77,N77,IF(C93=C78,N78,IF(C93=C79,N79,IF(C93=C80,N80,IF(C93=C81,N81,IF(C93=C82,N82,IF(C93=C83,N83,IF($C$93=C84,N84,IF($C$93=C85,N85,N72))))))))))))))))))))))))</f>
        <v>S.O. / R.F.</v>
      </c>
      <c r="O93" s="54" t="str">
        <f ca="1">IF(C93=C61,O61,IF(C93=C62,O62,IF(C93=C63,O63,IF(C93=C64,O64,IF(C93=C65,O65,IF(C93=C66,O66,IF(C93=C67,O67,IF(C93=C68,O68,IF(C93=C69,O69,IF(C93=C70,O70,IF(C93=C71,O71,IF(C93=C73,O73,IF(C93=C74,O74,IF(C93=C75,O75,IF(C93=C76,O76,IF(C93=C77,O77,IF(C93=C78,O78,IF(C93=C79,O79,IF(C93=C80,O80,IF(C93=C81,O81,IF(C93=C82,O82,IF(C93=C83,O83,IF($C$93=C84,O84,IF($C$93=C85,O85,O72))))))))))))))))))))))))</f>
        <v> 150#</v>
      </c>
      <c r="P93" s="259" t="str">
        <f ca="1">IF(C93=C61,P61,IF(C93=C62,P62,IF(C93=C63,P63,IF(C93=C64,P64,IF(C93=C65,P65,IF(C93=C66,P66,IF(C93=C67,P67,IF(C93=C68,P68,IF(C93=C69,P69,IF(C93=C70,P70,IF(C93=C71,P71,IF(C93=C73,P73,IF(C93=C74,P74,IF(C93=C75,P75,IF(C93=C76,P76,IF(C93=C77,P77,IF(C93=C78,P78,IF(C93=C79,P79,IF(C93=C80,P80,IF(C93=C81,P81,IF(C93=C82,P82,IF(C93=C83,P83,IF($C$93=C84,P84,IF($C$93=C85,P85,P72))))))))))))))))))))))))</f>
        <v>1130</v>
      </c>
      <c r="Q93" s="258">
        <f ca="1">IF(C93=C61,Q61,IF(C93=C62,Q62,IF(C93=C63,Q63,IF(C93=C64,Q64,IF(C93=C65,Q65,IF(C93=C66,Q66,IF(C93=C67,Q67,IF(C93=C68,Q68,IF(C93=C69,Q69,IF(C93=C70,Q70,IF(C93=C71,Q71,IF(C93=C73,Q73,IF(C93=C74,Q74,IF(C93=C75,Q75,IF(C93=C76,Q76,IF(C93=C77,Q77,IF(C93=C78,Q78,IF(C93=C79,Q79,IF(C93=C80,Q80,IF(C93=C81,Q81,IF(C93=C82,Q82,IF(C93=C83,Q83,IF($C$93=C84,Q84,IF($C$93=C85,Q85,Q72))))))))))))))))))))))))</f>
        <v>4000</v>
      </c>
      <c r="V93" s="299"/>
      <c r="W93" s="299"/>
      <c r="X93" s="299"/>
      <c r="Y93" s="299"/>
    </row>
    <row r="94" spans="1:25" ht="19.9" customHeight="1" hidden="1">
      <c r="A94" s="289"/>
      <c r="G94" s="308">
        <f ca="1">'Vessel Weights'!D46</f>
        <v>10</v>
      </c>
      <c r="I94" s="2"/>
      <c r="J94" s="2"/>
      <c r="K94" s="2"/>
      <c r="V94" s="299"/>
      <c r="W94" s="299"/>
      <c r="X94" s="299"/>
      <c r="Y94" s="299"/>
    </row>
    <row r="95" spans="1:23" ht="19.9" customHeight="1" hidden="1" thickBot="1">
      <c r="A95" s="289"/>
      <c r="G95" s="309"/>
      <c r="I95" s="2"/>
      <c r="J95" s="2"/>
      <c r="K95" s="2"/>
      <c r="V95" s="299"/>
      <c r="W95" s="299"/>
    </row>
    <row r="96" spans="1:11" ht="19.9" customHeight="1" hidden="1" thickBot="1">
      <c r="A96" s="289"/>
      <c r="B96" s="87"/>
      <c r="C96" s="56"/>
      <c r="D96" s="221"/>
      <c r="E96" s="56"/>
      <c r="F96" s="56"/>
      <c r="G96" s="171" t="s">
        <v>402</v>
      </c>
      <c r="I96" s="142"/>
      <c r="J96" s="142"/>
      <c r="K96" s="142"/>
    </row>
    <row r="97" spans="2:7" s="289" customFormat="1" ht="19.9" customHeight="1" hidden="1">
      <c r="B97" s="291"/>
      <c r="C97" s="292"/>
      <c r="E97" s="292"/>
      <c r="F97" s="292"/>
      <c r="G97" s="292"/>
    </row>
    <row r="98" spans="1:1" ht="19.9" customHeight="1" hidden="1">
      <c r="A98"/>
    </row>
    <row r="99" spans="1:1" ht="19.9" customHeight="1" hidden="1">
      <c r="A99"/>
    </row>
    <row r="100" ht="19.9" customHeight="1"/>
    <row r="101" ht="19.9" customHeight="1"/>
    <row r="102" spans="5:12" ht="19.9" customHeight="1">
      <c r="E102" s="210"/>
      <c r="F102" s="210"/>
      <c r="G102" s="210"/>
      <c r="H102" s="206"/>
      <c r="L102" s="207"/>
    </row>
    <row r="103" spans="5:12" ht="19.9" customHeight="1">
      <c r="E103" s="210"/>
      <c r="F103" s="210"/>
      <c r="G103" s="210"/>
      <c r="H103" s="206"/>
      <c r="L103" s="207"/>
    </row>
    <row r="104" spans="5:12" ht="19.9" customHeight="1">
      <c r="E104" s="210"/>
      <c r="F104" s="210"/>
      <c r="G104" s="210"/>
      <c r="H104" s="206"/>
      <c r="L104" s="207"/>
    </row>
    <row r="105" spans="5:12" ht="19.9" customHeight="1">
      <c r="E105" s="210"/>
      <c r="F105" s="210"/>
      <c r="G105" s="210"/>
      <c r="H105" s="206"/>
      <c r="L105" s="207"/>
    </row>
    <row r="106" spans="5:12" ht="19.9" customHeight="1">
      <c r="E106" s="210"/>
      <c r="F106" s="210"/>
      <c r="G106" s="210"/>
      <c r="H106" s="206"/>
      <c r="L106" s="207"/>
    </row>
    <row r="107" spans="5:14">
      <c r="E107" s="210"/>
      <c r="F107" s="210"/>
      <c r="G107" s="210"/>
      <c r="L107" s="207"/>
      <c r="N107" s="209"/>
    </row>
    <row r="108" spans="5:7">
      <c r="E108" s="210"/>
      <c r="F108" s="210"/>
      <c r="G108" s="210"/>
    </row>
    <row r="109" spans="5:13">
      <c r="E109" s="210"/>
      <c r="F109" s="210"/>
      <c r="G109" s="210"/>
      <c r="L109" s="207"/>
      <c r="M109" s="208"/>
    </row>
    <row r="110" spans="5:7">
      <c r="E110" s="210"/>
      <c r="F110" s="210"/>
      <c r="G110" s="210"/>
    </row>
    <row r="111" spans="5:7">
      <c r="E111" s="210"/>
      <c r="F111" s="210"/>
      <c r="G111" s="210"/>
    </row>
    <row r="112" spans="5:7">
      <c r="E112" s="210"/>
      <c r="F112" s="210"/>
      <c r="G112" s="210"/>
    </row>
  </sheetData>
  <autoFilter ref="I58:K85"/>
  <mergeCells count="64">
    <mergeCell ref="H30:H37"/>
    <mergeCell ref="B36:B46"/>
    <mergeCell ref="E29:E30"/>
    <mergeCell ref="H90:H91"/>
    <mergeCell ref="I90:I92"/>
    <mergeCell ref="B56:Q57"/>
    <mergeCell ref="B49:C49"/>
    <mergeCell ref="B53:D53"/>
    <mergeCell ref="B90:B92"/>
    <mergeCell ref="C90:C92"/>
    <mergeCell ref="D90:D92"/>
    <mergeCell ref="E90:E92"/>
    <mergeCell ref="B88:Q89"/>
    <mergeCell ref="J90:J92"/>
    <mergeCell ref="K90:K92"/>
    <mergeCell ref="L90:O91"/>
    <mergeCell ref="B6:C6"/>
    <mergeCell ref="B15:Q15"/>
    <mergeCell ref="B16:D16"/>
    <mergeCell ref="B17:D17"/>
    <mergeCell ref="B20:D20"/>
    <mergeCell ref="B8:C8"/>
    <mergeCell ref="B7:C7"/>
    <mergeCell ref="B19:L19"/>
    <mergeCell ref="O19:Q19"/>
    <mergeCell ref="N19:N20"/>
    <mergeCell ref="B9:C9"/>
    <mergeCell ref="B10:C10"/>
    <mergeCell ref="B11:C11"/>
    <mergeCell ref="B12:C12"/>
    <mergeCell ref="D12:E12"/>
    <mergeCell ref="D11:E11"/>
    <mergeCell ref="T77:X77"/>
    <mergeCell ref="H58:H59"/>
    <mergeCell ref="I58:I60"/>
    <mergeCell ref="J58:J60"/>
    <mergeCell ref="K58:K60"/>
    <mergeCell ref="L58:O59"/>
    <mergeCell ref="P58:P59"/>
    <mergeCell ref="Q58:Q59"/>
    <mergeCell ref="Z87:AA87"/>
    <mergeCell ref="Z88:AA88"/>
    <mergeCell ref="X90:Y90"/>
    <mergeCell ref="X91:Y91"/>
    <mergeCell ref="G94:G95"/>
    <mergeCell ref="F90:G90"/>
    <mergeCell ref="P90:P91"/>
    <mergeCell ref="Q90:Q91"/>
    <mergeCell ref="B2:C2"/>
    <mergeCell ref="B3:C3"/>
    <mergeCell ref="B4:C4"/>
    <mergeCell ref="V95:W95"/>
    <mergeCell ref="X92:Y92"/>
    <mergeCell ref="X93:Y93"/>
    <mergeCell ref="X94:Y94"/>
    <mergeCell ref="V93:W93"/>
    <mergeCell ref="V94:W94"/>
    <mergeCell ref="X87:Y87"/>
    <mergeCell ref="B21:D21"/>
    <mergeCell ref="B58:B60"/>
    <mergeCell ref="C58:C60"/>
    <mergeCell ref="D58:D60"/>
    <mergeCell ref="E58:E60"/>
    <mergeCell ref="F58:G58"/>
  </mergeCells>
  <pageMargins left="0.7" right="0.7" top="0.75" bottom="0.75" header="0.3" footer="0.3"/>
  <pageSetup scale="33" orientation="portrait"/>
  <headerFooter scaleWithDoc="1" alignWithMargins="0" differentFirst="0" differentOddEven="0"/>
  <ignoredErrors>
    <ignoredError sqref="P61:P62 P64:P83" numberStoredAsText="1"/>
    <ignoredError sqref="G79:G85" evalError="1"/>
  </ignoredErrors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C000"/>
  </sheetPr>
  <dimension ref="A1:U339"/>
  <sheetViews>
    <sheetView zoomScale="70" view="pageBreakPreview" workbookViewId="0">
      <selection pane="topLeft" activeCell="T75" sqref="T75"/>
    </sheetView>
  </sheetViews>
  <sheetFormatPr defaultRowHeight="15"/>
  <cols>
    <col min="1" max="1" width="5.7109375" customWidth="1"/>
    <col min="2" max="2" width="10.7109375" customWidth="1"/>
    <col min="3" max="20" width="8.7109375" customWidth="1"/>
    <col min="21" max="21" width="5.7109375" customWidth="1"/>
  </cols>
  <sheetData>
    <row r="1" spans="1:3" ht="16.5" thickBot="1">
      <c r="A1" s="88"/>
      <c r="B1" s="89"/>
      <c r="C1" s="89"/>
    </row>
    <row r="2" spans="1:20" ht="15.75" customHeight="1">
      <c r="A2" s="88"/>
      <c r="B2" s="394" t="s">
        <v>293</v>
      </c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6"/>
    </row>
    <row r="3" spans="1:20" ht="15.75" customHeight="1">
      <c r="A3" s="88"/>
      <c r="B3" s="397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9"/>
    </row>
    <row r="4" spans="1:20" ht="15.75" customHeight="1" thickBot="1">
      <c r="A4" s="88"/>
      <c r="B4" s="400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2"/>
    </row>
    <row r="5" spans="1:3" ht="16.5" thickBot="1">
      <c r="A5" s="88"/>
      <c r="B5" s="89"/>
      <c r="C5" s="89"/>
    </row>
    <row r="6" spans="1:4" ht="15.75">
      <c r="A6" s="88"/>
      <c r="B6" s="90"/>
      <c r="C6" s="403" t="s">
        <v>294</v>
      </c>
      <c r="D6" s="404"/>
    </row>
    <row r="7" spans="1:4" ht="16.5" thickBot="1">
      <c r="A7" s="88"/>
      <c r="B7" s="91"/>
      <c r="C7" s="405" t="s">
        <v>295</v>
      </c>
      <c r="D7" s="406"/>
    </row>
    <row r="8" spans="1:3" ht="16.5" thickBot="1">
      <c r="A8" s="88"/>
      <c r="B8" s="89"/>
      <c r="C8" s="89"/>
    </row>
    <row r="9" spans="1:20" s="160" customFormat="1" ht="40.15" customHeight="1" thickBot="1">
      <c r="A9" s="159"/>
      <c r="B9" s="385" t="s">
        <v>296</v>
      </c>
      <c r="C9" s="386"/>
      <c r="D9" s="386"/>
      <c r="E9" s="386"/>
      <c r="F9" s="386"/>
      <c r="G9" s="386"/>
      <c r="H9" s="386"/>
      <c r="I9" s="386"/>
      <c r="J9" s="386"/>
      <c r="K9" s="386"/>
      <c r="L9" s="386"/>
      <c r="M9" s="386"/>
      <c r="N9" s="386"/>
      <c r="O9" s="386"/>
      <c r="P9" s="386"/>
      <c r="Q9" s="386"/>
      <c r="R9" s="386"/>
      <c r="S9" s="386"/>
      <c r="T9" s="387"/>
    </row>
    <row r="10" spans="1:9" ht="20.1" customHeight="1" thickBot="1">
      <c r="A10" s="88"/>
      <c r="B10" s="157"/>
      <c r="C10" s="158"/>
      <c r="D10" s="158"/>
      <c r="E10" s="92"/>
      <c r="F10" s="87"/>
      <c r="G10" s="87"/>
      <c r="H10" s="87"/>
      <c r="I10" s="87"/>
    </row>
    <row r="11" spans="1:20" ht="20.1" customHeight="1" thickBot="1">
      <c r="A11" s="88"/>
      <c r="B11" s="93" t="s">
        <v>297</v>
      </c>
      <c r="C11" s="85" t="s">
        <v>298</v>
      </c>
      <c r="E11" s="92"/>
      <c r="F11" s="94" t="s">
        <v>299</v>
      </c>
      <c r="G11" s="95">
        <f ca="1">I11*14.5038</f>
        <v>261.0684</v>
      </c>
      <c r="H11" s="81" t="s">
        <v>300</v>
      </c>
      <c r="I11" s="96">
        <f ca="1">ROUNDDOWN('Calculation for sizing HDT '!D6+2,0)</f>
        <v>18</v>
      </c>
      <c r="J11" s="81" t="s">
        <v>301</v>
      </c>
      <c r="K11" s="87"/>
      <c r="L11" s="97"/>
      <c r="M11" s="407" t="s">
        <v>302</v>
      </c>
      <c r="N11" s="408"/>
      <c r="O11" s="408"/>
      <c r="P11" s="409"/>
      <c r="Q11" s="407" t="s">
        <v>303</v>
      </c>
      <c r="R11" s="408"/>
      <c r="S11" s="408"/>
      <c r="T11" s="409"/>
    </row>
    <row r="12" spans="1:20" ht="20.1" customHeight="1" thickBot="1">
      <c r="A12" s="88"/>
      <c r="B12" s="93" t="s">
        <v>304</v>
      </c>
      <c r="C12" s="85" t="s">
        <v>305</v>
      </c>
      <c r="E12" s="92"/>
      <c r="F12" s="94" t="s">
        <v>306</v>
      </c>
      <c r="G12" s="95">
        <f ca="1">I12*145.038</f>
        <v>20000.740200000004</v>
      </c>
      <c r="H12" s="81" t="s">
        <v>300</v>
      </c>
      <c r="I12" s="96">
        <f ca="1">P12</f>
        <v>137.9</v>
      </c>
      <c r="J12" s="81" t="s">
        <v>307</v>
      </c>
      <c r="K12" s="87"/>
      <c r="L12" s="97"/>
      <c r="M12" s="410" t="s">
        <v>308</v>
      </c>
      <c r="N12" s="411"/>
      <c r="O12" s="98" t="s">
        <v>309</v>
      </c>
      <c r="P12" s="99">
        <v>137.9</v>
      </c>
      <c r="Q12" s="100" t="s">
        <v>310</v>
      </c>
      <c r="R12" s="100" t="s">
        <v>311</v>
      </c>
      <c r="S12" s="99">
        <v>7750</v>
      </c>
      <c r="T12" s="101" t="s">
        <v>312</v>
      </c>
    </row>
    <row r="13" spans="1:20" ht="20.1" customHeight="1" thickBot="1">
      <c r="A13" s="88"/>
      <c r="B13" s="93" t="s">
        <v>313</v>
      </c>
      <c r="C13" s="85" t="s">
        <v>314</v>
      </c>
      <c r="E13" s="92"/>
      <c r="F13" s="94" t="s">
        <v>315</v>
      </c>
      <c r="G13" s="95">
        <f ca="1">I13</f>
        <v>0.85</v>
      </c>
      <c r="H13" s="102" t="s">
        <v>316</v>
      </c>
      <c r="I13" s="96">
        <v>0.85</v>
      </c>
      <c r="J13" s="102" t="s">
        <v>316</v>
      </c>
      <c r="K13" s="87"/>
      <c r="L13" s="97"/>
      <c r="M13" s="412" t="s">
        <v>317</v>
      </c>
      <c r="N13" s="413"/>
      <c r="O13" s="98" t="s">
        <v>309</v>
      </c>
      <c r="P13" s="98">
        <v>114.5</v>
      </c>
      <c r="Q13" s="100" t="s">
        <v>310</v>
      </c>
      <c r="R13" s="100" t="s">
        <v>311</v>
      </c>
      <c r="S13" s="98">
        <v>7750</v>
      </c>
      <c r="T13" s="101" t="s">
        <v>312</v>
      </c>
    </row>
    <row r="14" spans="1:20" ht="20.1" customHeight="1" thickBot="1">
      <c r="A14" s="88"/>
      <c r="B14" s="93" t="s">
        <v>318</v>
      </c>
      <c r="C14" s="103" t="s">
        <v>319</v>
      </c>
      <c r="D14" s="104"/>
      <c r="E14" s="104"/>
      <c r="F14" s="94" t="s">
        <v>320</v>
      </c>
      <c r="G14" s="95">
        <f ca="1">I14/25.4</f>
        <v>17.716535433070867</v>
      </c>
      <c r="H14" s="95" t="s">
        <v>321</v>
      </c>
      <c r="I14" s="95">
        <f ca="1">I15/2</f>
        <v>450</v>
      </c>
      <c r="J14" s="95" t="s">
        <v>322</v>
      </c>
      <c r="K14" s="104"/>
      <c r="L14" s="97"/>
      <c r="M14" s="412" t="s">
        <v>323</v>
      </c>
      <c r="N14" s="413"/>
      <c r="O14" s="98" t="s">
        <v>309</v>
      </c>
      <c r="P14" s="98">
        <v>108.3</v>
      </c>
      <c r="Q14" s="100" t="s">
        <v>310</v>
      </c>
      <c r="R14" s="100" t="s">
        <v>311</v>
      </c>
      <c r="S14" s="98">
        <v>7750</v>
      </c>
      <c r="T14" s="101" t="s">
        <v>312</v>
      </c>
    </row>
    <row r="15" spans="1:20" ht="20.1" customHeight="1" thickBot="1">
      <c r="A15" s="88"/>
      <c r="B15" s="93" t="s">
        <v>324</v>
      </c>
      <c r="C15" s="103" t="s">
        <v>325</v>
      </c>
      <c r="F15" s="94" t="s">
        <v>373</v>
      </c>
      <c r="G15" s="95">
        <f ca="1">I15/25.4</f>
        <v>35.433070866141733</v>
      </c>
      <c r="H15" s="81" t="s">
        <v>321</v>
      </c>
      <c r="I15" s="96">
        <f ca="1">'Calculation for sizing HDT '!D93</f>
        <v>900</v>
      </c>
      <c r="J15" s="81" t="s">
        <v>322</v>
      </c>
      <c r="K15" s="87"/>
      <c r="L15" s="97"/>
      <c r="M15" s="412" t="s">
        <v>327</v>
      </c>
      <c r="N15" s="413"/>
      <c r="O15" s="98" t="s">
        <v>309</v>
      </c>
      <c r="P15" s="98">
        <v>115.1</v>
      </c>
      <c r="Q15" s="100" t="s">
        <v>310</v>
      </c>
      <c r="R15" s="100" t="s">
        <v>311</v>
      </c>
      <c r="S15" s="98">
        <v>8027</v>
      </c>
      <c r="T15" s="101" t="s">
        <v>312</v>
      </c>
    </row>
    <row r="16" spans="1:20" ht="20.1" customHeight="1" thickBot="1">
      <c r="A16" s="88"/>
      <c r="B16" s="93" t="s">
        <v>328</v>
      </c>
      <c r="C16" s="103" t="s">
        <v>329</v>
      </c>
      <c r="F16" s="94" t="s">
        <v>330</v>
      </c>
      <c r="G16" s="95">
        <f ca="1">I16/25.4</f>
        <v>0.059055118110236227</v>
      </c>
      <c r="H16" s="81" t="s">
        <v>321</v>
      </c>
      <c r="I16" s="96">
        <f ca="1">'Calculation for sizing HDT '!D9</f>
        <v>1.5</v>
      </c>
      <c r="J16" s="81" t="s">
        <v>322</v>
      </c>
      <c r="K16" s="87"/>
      <c r="L16" s="97"/>
      <c r="M16" s="412" t="s">
        <v>331</v>
      </c>
      <c r="N16" s="413"/>
      <c r="O16" s="98" t="s">
        <v>309</v>
      </c>
      <c r="P16" s="98">
        <v>115.1</v>
      </c>
      <c r="Q16" s="100" t="s">
        <v>310</v>
      </c>
      <c r="R16" s="100" t="s">
        <v>311</v>
      </c>
      <c r="S16" s="98">
        <v>8027</v>
      </c>
      <c r="T16" s="101" t="s">
        <v>312</v>
      </c>
    </row>
    <row r="17" spans="1:20" ht="20.1" customHeight="1" thickBot="1">
      <c r="A17" s="88"/>
      <c r="B17" s="76" t="s">
        <v>375</v>
      </c>
      <c r="C17" s="103" t="s">
        <v>332</v>
      </c>
      <c r="F17" s="94" t="s">
        <v>333</v>
      </c>
      <c r="G17" s="95">
        <f ca="1">I17/25.4</f>
        <v>59.055118110236222</v>
      </c>
      <c r="H17" s="81" t="s">
        <v>321</v>
      </c>
      <c r="I17" s="96">
        <f ca="1">'Calculation for sizing HDT '!E93</f>
        <v>1500</v>
      </c>
      <c r="J17" s="81" t="s">
        <v>322</v>
      </c>
      <c r="K17" s="87"/>
      <c r="L17" s="97"/>
      <c r="M17" s="412" t="s">
        <v>334</v>
      </c>
      <c r="N17" s="413"/>
      <c r="O17" s="98" t="s">
        <v>309</v>
      </c>
      <c r="P17" s="98">
        <v>137.9</v>
      </c>
      <c r="Q17" s="100" t="s">
        <v>310</v>
      </c>
      <c r="R17" s="100" t="s">
        <v>311</v>
      </c>
      <c r="S17" s="98">
        <v>8027</v>
      </c>
      <c r="T17" s="101" t="s">
        <v>312</v>
      </c>
    </row>
    <row r="18" spans="1:20" ht="20.1" customHeight="1" thickBot="1">
      <c r="A18" s="88"/>
      <c r="B18" s="93" t="s">
        <v>335</v>
      </c>
      <c r="C18" s="85" t="s">
        <v>336</v>
      </c>
      <c r="F18" s="94" t="s">
        <v>337</v>
      </c>
      <c r="G18" s="95">
        <f ca="1">((G11*G14)/(G12*G13+(0.4*G11)))+G16</f>
        <v>0.32945630333538184</v>
      </c>
      <c r="H18" s="81" t="s">
        <v>321</v>
      </c>
      <c r="I18" s="156">
        <f ca="1">G18*25.4</f>
        <v>8.368190104718698</v>
      </c>
      <c r="J18" s="81" t="s">
        <v>322</v>
      </c>
      <c r="K18" s="87"/>
      <c r="L18" s="97"/>
      <c r="M18" s="412" t="s">
        <v>338</v>
      </c>
      <c r="N18" s="413"/>
      <c r="O18" s="98" t="s">
        <v>309</v>
      </c>
      <c r="P18" s="98">
        <v>137.9</v>
      </c>
      <c r="Q18" s="100" t="s">
        <v>310</v>
      </c>
      <c r="R18" s="100" t="s">
        <v>311</v>
      </c>
      <c r="S18" s="98">
        <v>8027</v>
      </c>
      <c r="T18" s="101" t="s">
        <v>312</v>
      </c>
    </row>
    <row r="19" spans="1:20" ht="20.1" customHeight="1" thickBot="1">
      <c r="A19" s="88"/>
      <c r="B19" s="391" t="s">
        <v>374</v>
      </c>
      <c r="C19" s="392"/>
      <c r="D19" s="393"/>
      <c r="F19" s="105"/>
      <c r="G19" s="106"/>
      <c r="H19" s="87"/>
      <c r="I19" s="92"/>
      <c r="J19" s="106"/>
      <c r="K19" s="87"/>
      <c r="L19" s="97"/>
      <c r="M19" s="412" t="s">
        <v>339</v>
      </c>
      <c r="N19" s="413"/>
      <c r="O19" s="98" t="s">
        <v>309</v>
      </c>
      <c r="P19" s="98">
        <v>177.2</v>
      </c>
      <c r="Q19" s="100" t="s">
        <v>310</v>
      </c>
      <c r="R19" s="100" t="s">
        <v>311</v>
      </c>
      <c r="S19" s="98">
        <v>8027</v>
      </c>
      <c r="T19" s="101" t="s">
        <v>312</v>
      </c>
    </row>
    <row r="20" spans="1:20" ht="20.1" customHeight="1">
      <c r="A20" s="88"/>
      <c r="B20" s="143"/>
      <c r="C20" s="143"/>
      <c r="D20" s="143"/>
      <c r="F20" s="105"/>
      <c r="G20" s="106"/>
      <c r="H20" s="87"/>
      <c r="I20" s="92"/>
      <c r="J20" s="106"/>
      <c r="K20" s="87"/>
      <c r="L20" s="142"/>
      <c r="M20" s="144"/>
      <c r="N20" s="144"/>
      <c r="O20" s="145"/>
      <c r="P20" s="145"/>
      <c r="Q20" s="145"/>
      <c r="R20" s="145"/>
      <c r="S20" s="145"/>
      <c r="T20" s="145"/>
    </row>
    <row r="21" spans="1:20" ht="20.1" customHeight="1">
      <c r="A21" s="88"/>
      <c r="B21" s="383" t="s">
        <v>377</v>
      </c>
      <c r="C21" s="384"/>
      <c r="D21" s="146">
        <f ca="1">IF(ROUNDUP(I18,0)=4,4,IF(ROUNDUP(I18,0)=5,5,IF(ROUNDUP(I18,0)=6,6,IF(ROUNDUP(I18,0)=7,8,IF(ROUNDUP(I18,0)=8,8,IF(ROUNDUP(I18,0)=9,10,IF(ROUNDUP(I18,0)=10,10,IF(ROUNDUP(I18,0)=11,12,IF(ROUNDUP(I18,0)=12,12,IF(ROUNDUP(I18,0)=13,14,IF(ROUNDUP(I18,0)=14,14,IF(ROUNDUP(I18,0)=15,15,IF(ROUNDUP(I18,0)=16,16,IF(ROUNDUP(I18,0)=17,18,IF(ROUNDUP(I18,0)=18,18,IF(ROUNDUP(I18,0)=19,20,IF(ROUNDUP(I18,0)=20,20,IF(ROUNDUP(I18,0)=21,22,IF(ROUNDUP(I18,0)=23,24,IF(ROUNDUP(I18,0)=24,24,IF(ROUNDUP(I18,0)=25,25)))))))))))))))))))))</f>
        <v>10</v>
      </c>
      <c r="E21" s="147" t="s">
        <v>322</v>
      </c>
      <c r="F21" s="105"/>
      <c r="G21" s="140"/>
      <c r="H21" s="23"/>
      <c r="I21" s="141"/>
      <c r="J21" s="140"/>
      <c r="K21" s="87"/>
      <c r="M21" s="108"/>
      <c r="N21" s="108"/>
      <c r="O21" s="89"/>
      <c r="P21" s="89"/>
      <c r="Q21" s="89"/>
      <c r="R21" s="89"/>
      <c r="S21" s="89"/>
      <c r="T21" s="89"/>
    </row>
    <row r="22" spans="1:20" ht="20.1" customHeight="1">
      <c r="A22" s="88"/>
      <c r="B22" s="107"/>
      <c r="C22" s="107"/>
      <c r="D22" s="107"/>
      <c r="F22" s="105"/>
      <c r="G22" s="106"/>
      <c r="H22" s="87"/>
      <c r="I22" s="92"/>
      <c r="J22" s="106"/>
      <c r="K22" s="87"/>
      <c r="M22" s="108"/>
      <c r="N22" s="108"/>
      <c r="O22" s="89"/>
      <c r="P22" s="89"/>
      <c r="Q22" s="89"/>
      <c r="R22" s="89"/>
      <c r="S22" s="89"/>
      <c r="T22" s="89"/>
    </row>
    <row r="23" spans="1:20" ht="20.1" customHeight="1">
      <c r="A23" s="88"/>
      <c r="B23" s="390" t="s">
        <v>340</v>
      </c>
      <c r="C23" s="390"/>
      <c r="D23" s="390"/>
      <c r="E23" s="390"/>
      <c r="F23" s="390"/>
      <c r="G23" s="390"/>
      <c r="H23" s="390"/>
      <c r="I23" s="390"/>
      <c r="J23" s="390"/>
      <c r="K23" s="87"/>
      <c r="M23" s="108"/>
      <c r="N23" s="108"/>
      <c r="O23" s="89"/>
      <c r="P23" s="109"/>
      <c r="Q23" s="109"/>
      <c r="R23" s="89"/>
      <c r="S23" s="89"/>
      <c r="T23" s="89"/>
    </row>
    <row r="24" spans="1:20" ht="20.1" customHeight="1" thickBot="1">
      <c r="A24" s="88"/>
      <c r="B24" s="110" t="s">
        <v>341</v>
      </c>
      <c r="C24" s="111"/>
      <c r="D24" s="111"/>
      <c r="E24" s="111"/>
      <c r="F24" s="111"/>
      <c r="M24" s="108"/>
      <c r="N24" s="108"/>
      <c r="O24" s="89"/>
      <c r="P24" s="89"/>
      <c r="Q24" s="89"/>
      <c r="R24" s="89"/>
      <c r="S24" s="89"/>
      <c r="T24" s="89"/>
    </row>
    <row r="25" spans="1:20" ht="20.1" customHeight="1" thickBot="1">
      <c r="A25" s="88"/>
      <c r="B25" s="112" t="s">
        <v>342</v>
      </c>
      <c r="I25" s="374" t="s">
        <v>343</v>
      </c>
      <c r="J25" s="375"/>
      <c r="K25" s="149">
        <v>50</v>
      </c>
      <c r="L25" s="151" t="s">
        <v>322</v>
      </c>
      <c r="M25" s="108"/>
      <c r="N25" s="108"/>
      <c r="O25" s="89"/>
      <c r="P25" s="89"/>
      <c r="Q25" s="89"/>
      <c r="R25" s="89"/>
      <c r="S25" s="89"/>
      <c r="T25" s="89"/>
    </row>
    <row r="26" spans="1:20" ht="20.1" customHeight="1" thickBot="1">
      <c r="A26" s="88"/>
      <c r="B26" s="113" t="s">
        <v>344</v>
      </c>
      <c r="C26" s="113"/>
      <c r="I26" s="150" t="s">
        <v>345</v>
      </c>
      <c r="J26" s="11"/>
      <c r="K26" s="150">
        <v>3.141</v>
      </c>
      <c r="L26" s="152" t="s">
        <v>316</v>
      </c>
      <c r="M26" s="108"/>
      <c r="N26" s="108"/>
      <c r="O26" s="89"/>
      <c r="P26" s="89"/>
      <c r="Q26" s="89"/>
      <c r="R26" s="89"/>
      <c r="S26" s="89"/>
      <c r="T26" s="89"/>
    </row>
    <row r="27" spans="1:20" ht="20.1" customHeight="1" thickBot="1">
      <c r="A27" s="88"/>
      <c r="B27" s="113" t="s">
        <v>346</v>
      </c>
      <c r="C27" s="113"/>
      <c r="D27" s="113"/>
      <c r="I27" s="376" t="s">
        <v>326</v>
      </c>
      <c r="J27" s="377"/>
      <c r="K27" s="2">
        <f ca="1">$I$15-2*D21</f>
        <v>880</v>
      </c>
      <c r="L27" s="153" t="s">
        <v>322</v>
      </c>
      <c r="M27" s="108"/>
      <c r="N27" s="108"/>
      <c r="O27" s="89"/>
      <c r="P27" s="89"/>
      <c r="Q27" s="89"/>
      <c r="R27" s="89"/>
      <c r="S27" s="89"/>
      <c r="T27" s="89"/>
    </row>
    <row r="28" spans="1:20" ht="20.1" customHeight="1" thickBot="1">
      <c r="A28" s="88"/>
      <c r="B28" s="113" t="s">
        <v>378</v>
      </c>
      <c r="C28" s="113"/>
      <c r="D28" s="113"/>
      <c r="I28" s="150" t="s">
        <v>348</v>
      </c>
      <c r="J28" s="11"/>
      <c r="K28" s="155">
        <f ca="1">$D$21</f>
        <v>10</v>
      </c>
      <c r="L28" s="118" t="s">
        <v>322</v>
      </c>
      <c r="M28" s="108"/>
      <c r="N28" s="108"/>
      <c r="O28" s="89"/>
      <c r="P28" s="89"/>
      <c r="Q28" s="89"/>
      <c r="R28" s="89"/>
      <c r="S28" s="89"/>
      <c r="T28" s="89"/>
    </row>
    <row r="29" spans="1:20" ht="20.1" customHeight="1" thickBot="1">
      <c r="A29" s="88"/>
      <c r="B29" s="113" t="s">
        <v>349</v>
      </c>
      <c r="C29" s="113"/>
      <c r="D29" s="113"/>
      <c r="I29" s="376" t="s">
        <v>311</v>
      </c>
      <c r="J29" s="377"/>
      <c r="K29" s="2">
        <f ca="1">$S$12</f>
        <v>7750</v>
      </c>
      <c r="L29" s="153" t="s">
        <v>350</v>
      </c>
      <c r="M29" s="108"/>
      <c r="N29" s="144"/>
      <c r="O29" s="145"/>
      <c r="P29" s="145"/>
      <c r="Q29" s="145"/>
      <c r="R29" s="89"/>
      <c r="S29" s="89"/>
      <c r="T29" s="89"/>
    </row>
    <row r="30" spans="1:20" ht="20.1" customHeight="1" thickTop="1" thickBot="1">
      <c r="A30" s="88"/>
      <c r="B30" s="113" t="s">
        <v>351</v>
      </c>
      <c r="C30" s="113"/>
      <c r="D30" s="113"/>
      <c r="I30" s="150" t="s">
        <v>333</v>
      </c>
      <c r="J30" s="11"/>
      <c r="K30" s="150">
        <f ca="1">$I$17</f>
        <v>1500</v>
      </c>
      <c r="L30" s="118" t="s">
        <v>322</v>
      </c>
      <c r="M30" s="108"/>
      <c r="N30" s="371" t="s">
        <v>352</v>
      </c>
      <c r="O30" s="372"/>
      <c r="P30" s="372"/>
      <c r="Q30" s="373"/>
      <c r="R30" s="89"/>
      <c r="S30" s="89"/>
      <c r="T30" s="89"/>
    </row>
    <row r="31" spans="1:20" ht="20.1" customHeight="1" thickTop="1" thickBot="1">
      <c r="A31" s="88"/>
      <c r="B31" s="107"/>
      <c r="C31" s="107"/>
      <c r="D31" s="107"/>
      <c r="F31" s="105"/>
      <c r="G31" s="106"/>
      <c r="H31" s="87"/>
      <c r="I31" s="378" t="s">
        <v>352</v>
      </c>
      <c r="J31" s="379"/>
      <c r="K31" s="148">
        <f ca="1">K26*(K27/1000)*(K28/1000)*(K30/1000)*K29</f>
        <v>321.32430000000005</v>
      </c>
      <c r="L31" s="154" t="s">
        <v>322</v>
      </c>
      <c r="M31" s="108"/>
      <c r="N31" s="366" t="s">
        <v>352</v>
      </c>
      <c r="O31" s="366"/>
      <c r="P31" s="119">
        <f ca="1">K31*1.1</f>
        <v>353.45673000000011</v>
      </c>
      <c r="Q31" s="120" t="s">
        <v>34</v>
      </c>
      <c r="R31" s="89"/>
      <c r="S31" s="89"/>
      <c r="T31" s="89"/>
    </row>
    <row r="32" spans="1:20" ht="20.1" customHeight="1">
      <c r="A32" s="88"/>
      <c r="B32" s="121" t="s">
        <v>353</v>
      </c>
      <c r="C32" s="107"/>
      <c r="D32" s="107"/>
      <c r="F32" s="105"/>
      <c r="G32" s="106"/>
      <c r="H32" s="87"/>
      <c r="I32" s="92"/>
      <c r="J32" s="106"/>
      <c r="K32" s="87"/>
      <c r="M32" s="108"/>
      <c r="N32" s="144"/>
      <c r="O32" s="145"/>
      <c r="P32" s="145"/>
      <c r="Q32" s="145"/>
      <c r="R32" s="89"/>
      <c r="S32" s="89"/>
      <c r="T32" s="89"/>
    </row>
    <row r="33" spans="1:20" ht="20.1" customHeight="1">
      <c r="A33" s="88"/>
      <c r="B33" s="166" t="s">
        <v>383</v>
      </c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89"/>
      <c r="Q33" s="89"/>
      <c r="R33" s="89"/>
      <c r="S33" s="89"/>
      <c r="T33" s="89"/>
    </row>
    <row r="34" spans="1:20" ht="20.1" customHeight="1" thickBot="1">
      <c r="A34" s="88"/>
      <c r="B34" s="124"/>
      <c r="C34" s="124"/>
      <c r="D34" s="124"/>
      <c r="E34" s="104"/>
      <c r="F34" s="104"/>
      <c r="G34" s="104"/>
      <c r="H34" s="104"/>
      <c r="I34" s="104"/>
      <c r="J34" s="104"/>
      <c r="K34" s="104"/>
      <c r="M34" s="108"/>
      <c r="N34" s="108"/>
      <c r="O34" s="89"/>
      <c r="P34" s="89"/>
      <c r="Q34" s="89"/>
      <c r="R34" s="89"/>
      <c r="S34" s="89"/>
      <c r="T34" s="89"/>
    </row>
    <row r="35" spans="1:20" ht="40.15" customHeight="1" thickBot="1">
      <c r="A35" s="125"/>
      <c r="B35" s="385" t="s">
        <v>355</v>
      </c>
      <c r="C35" s="386"/>
      <c r="D35" s="386"/>
      <c r="E35" s="386"/>
      <c r="F35" s="386"/>
      <c r="G35" s="386"/>
      <c r="H35" s="386"/>
      <c r="I35" s="386"/>
      <c r="J35" s="386"/>
      <c r="K35" s="386"/>
      <c r="L35" s="386"/>
      <c r="M35" s="386"/>
      <c r="N35" s="386"/>
      <c r="O35" s="386"/>
      <c r="P35" s="386"/>
      <c r="Q35" s="386"/>
      <c r="R35" s="386"/>
      <c r="S35" s="386"/>
      <c r="T35" s="387"/>
    </row>
    <row r="36" spans="1:11" s="8" customFormat="1" ht="20.1" customHeight="1" thickBot="1">
      <c r="A36" s="161"/>
      <c r="B36" s="157"/>
      <c r="C36" s="162"/>
      <c r="D36" s="162"/>
      <c r="E36" s="163"/>
      <c r="F36" s="139"/>
      <c r="G36" s="139"/>
      <c r="H36" s="139"/>
      <c r="I36" s="139"/>
      <c r="K36" s="139"/>
    </row>
    <row r="37" spans="1:17" ht="20.1" customHeight="1" thickBot="1">
      <c r="A37" s="88"/>
      <c r="B37" s="93" t="s">
        <v>297</v>
      </c>
      <c r="C37" s="103" t="s">
        <v>298</v>
      </c>
      <c r="E37" s="92"/>
      <c r="F37" s="94" t="s">
        <v>299</v>
      </c>
      <c r="G37" s="95">
        <f ca="1">I37*14.5038</f>
        <v>261.0684</v>
      </c>
      <c r="H37" s="81" t="s">
        <v>300</v>
      </c>
      <c r="I37" s="96">
        <f ca="1">$I$11</f>
        <v>18</v>
      </c>
      <c r="J37" s="81" t="s">
        <v>301</v>
      </c>
      <c r="K37" s="87"/>
      <c r="N37" s="374" t="s">
        <v>343</v>
      </c>
      <c r="O37" s="375"/>
      <c r="P37" s="149">
        <v>50</v>
      </c>
      <c r="Q37" s="151" t="s">
        <v>322</v>
      </c>
    </row>
    <row r="38" spans="1:17" ht="20.1" customHeight="1" thickBot="1">
      <c r="A38" s="88"/>
      <c r="B38" s="93" t="s">
        <v>304</v>
      </c>
      <c r="C38" s="103" t="s">
        <v>305</v>
      </c>
      <c r="E38" s="92"/>
      <c r="F38" s="94" t="s">
        <v>306</v>
      </c>
      <c r="G38" s="95">
        <f ca="1">I38*145.038</f>
        <v>20000.740200000004</v>
      </c>
      <c r="H38" s="81" t="s">
        <v>300</v>
      </c>
      <c r="I38" s="96">
        <f ca="1">$I$12</f>
        <v>137.9</v>
      </c>
      <c r="J38" s="81" t="s">
        <v>307</v>
      </c>
      <c r="K38" s="87"/>
      <c r="N38" s="150" t="s">
        <v>345</v>
      </c>
      <c r="O38" s="11"/>
      <c r="P38" s="150">
        <v>3.141</v>
      </c>
      <c r="Q38" s="152" t="s">
        <v>316</v>
      </c>
    </row>
    <row r="39" spans="1:17" ht="20.1" customHeight="1" thickBot="1">
      <c r="A39" s="88"/>
      <c r="B39" s="93" t="s">
        <v>313</v>
      </c>
      <c r="C39" s="103" t="s">
        <v>314</v>
      </c>
      <c r="E39" s="92"/>
      <c r="F39" s="94" t="s">
        <v>315</v>
      </c>
      <c r="G39" s="95">
        <f ca="1">$I$39</f>
        <v>1</v>
      </c>
      <c r="H39" s="102" t="s">
        <v>316</v>
      </c>
      <c r="I39" s="96">
        <v>1</v>
      </c>
      <c r="J39" s="102" t="s">
        <v>316</v>
      </c>
      <c r="K39" s="106"/>
      <c r="N39" s="376" t="s">
        <v>326</v>
      </c>
      <c r="O39" s="377"/>
      <c r="P39" s="2">
        <f ca="1">I41-2*D46</f>
        <v>880</v>
      </c>
      <c r="Q39" s="153" t="s">
        <v>322</v>
      </c>
    </row>
    <row r="40" spans="1:17" ht="20.1" customHeight="1" thickBot="1">
      <c r="A40" s="88"/>
      <c r="B40" s="93" t="s">
        <v>318</v>
      </c>
      <c r="C40" s="103" t="s">
        <v>381</v>
      </c>
      <c r="D40" s="104"/>
      <c r="E40" s="104"/>
      <c r="F40" s="94" t="s">
        <v>320</v>
      </c>
      <c r="G40" s="95">
        <f ca="1">I40/25.4</f>
        <v>17.716535433070867</v>
      </c>
      <c r="H40" s="95" t="s">
        <v>321</v>
      </c>
      <c r="I40" s="95">
        <f ca="1">$I$41/2</f>
        <v>450</v>
      </c>
      <c r="J40" s="95" t="s">
        <v>322</v>
      </c>
      <c r="K40" s="106"/>
      <c r="N40" s="150" t="s">
        <v>348</v>
      </c>
      <c r="O40" s="11"/>
      <c r="P40" s="155">
        <f ca="1">D46</f>
        <v>10</v>
      </c>
      <c r="Q40" s="118" t="s">
        <v>322</v>
      </c>
    </row>
    <row r="41" spans="1:17" ht="20.1" customHeight="1" thickBot="1">
      <c r="A41" s="88"/>
      <c r="B41" s="93" t="s">
        <v>356</v>
      </c>
      <c r="C41" s="103" t="s">
        <v>380</v>
      </c>
      <c r="F41" s="94" t="s">
        <v>373</v>
      </c>
      <c r="G41" s="95">
        <f ca="1">I41/25.4</f>
        <v>35.433070866141733</v>
      </c>
      <c r="H41" s="81" t="s">
        <v>321</v>
      </c>
      <c r="I41" s="96">
        <f ca="1">$I$15</f>
        <v>900</v>
      </c>
      <c r="J41" s="81" t="s">
        <v>322</v>
      </c>
      <c r="N41" s="376" t="s">
        <v>311</v>
      </c>
      <c r="O41" s="377"/>
      <c r="P41" s="2">
        <f ca="1">$S$12</f>
        <v>7750</v>
      </c>
      <c r="Q41" s="153" t="s">
        <v>350</v>
      </c>
    </row>
    <row r="42" spans="1:17" ht="20.1" customHeight="1" thickBot="1">
      <c r="A42" s="88"/>
      <c r="B42" s="93" t="s">
        <v>328</v>
      </c>
      <c r="C42" s="103" t="s">
        <v>329</v>
      </c>
      <c r="F42" s="94" t="s">
        <v>330</v>
      </c>
      <c r="G42" s="95">
        <f ca="1">I42/25.4</f>
        <v>0.059055118110236227</v>
      </c>
      <c r="H42" s="81" t="s">
        <v>321</v>
      </c>
      <c r="I42" s="96">
        <f ca="1">$I$16</f>
        <v>1.5</v>
      </c>
      <c r="J42" s="81" t="s">
        <v>322</v>
      </c>
      <c r="N42" s="150" t="s">
        <v>333</v>
      </c>
      <c r="O42" s="11"/>
      <c r="P42" s="150">
        <f ca="1">P37</f>
        <v>50</v>
      </c>
      <c r="Q42" s="118" t="s">
        <v>322</v>
      </c>
    </row>
    <row r="43" spans="1:17" ht="20.1" customHeight="1" thickBot="1">
      <c r="A43" s="88"/>
      <c r="B43" s="93" t="s">
        <v>335</v>
      </c>
      <c r="C43" s="85" t="s">
        <v>336</v>
      </c>
      <c r="F43" s="94" t="s">
        <v>337</v>
      </c>
      <c r="G43" s="95">
        <f ca="1">((G37*G41)/(2*G38*G39+1.8*G37))+G42</f>
        <v>0.28762280575019861</v>
      </c>
      <c r="H43" s="81" t="s">
        <v>321</v>
      </c>
      <c r="I43" s="156">
        <f ca="1">G43*25.4</f>
        <v>7.3056192660550439</v>
      </c>
      <c r="J43" s="81" t="s">
        <v>322</v>
      </c>
      <c r="M43" s="147"/>
      <c r="N43" s="378" t="s">
        <v>352</v>
      </c>
      <c r="O43" s="379"/>
      <c r="P43" s="156">
        <f ca="1">P38*(P39/1000)*(P40/1000)*(P42/1000)*P41</f>
        <v>10.710810000000002</v>
      </c>
      <c r="Q43" s="154" t="s">
        <v>322</v>
      </c>
    </row>
    <row r="44" spans="1:4" ht="20.1" customHeight="1">
      <c r="A44" s="88"/>
      <c r="B44" s="391" t="s">
        <v>379</v>
      </c>
      <c r="C44" s="392"/>
      <c r="D44" s="393"/>
    </row>
    <row r="45" spans="1:17" ht="20.1" customHeight="1">
      <c r="A45" s="88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O45" s="56" t="s">
        <v>449</v>
      </c>
      <c r="Q45" s="263" t="s">
        <v>450</v>
      </c>
    </row>
    <row r="46" spans="1:16" ht="20.1" customHeight="1">
      <c r="A46" s="88"/>
      <c r="B46" s="383" t="s">
        <v>382</v>
      </c>
      <c r="C46" s="384"/>
      <c r="D46" s="146">
        <f ca="1">IF(ROUNDUP(I43,0)=4,6,IF(ROUNDUP(I43,0)=5,6,IF(ROUNDUP(I43,0)=6,8,IF(ROUNDUP(I43,0)=7,8,IF(ROUNDUP(I43,0)=8,10,IF(ROUNDUP(I43,0)=9,12,IF(ROUNDUP(I43,0)=10,12,IF(ROUNDUP(I43,0)=11,14,IF(ROUNDUP(I43,0)=12,14,IF(ROUNDUP(I43,0)=13,15,IF(ROUNDUP(I43,0)=14,16,IF(ROUNDUP(I43,0)=15,18,IF(ROUNDUP(I43,0)=16,18,IF(ROUNDUP(I43,0)=17,20,IF(ROUNDUP(I43,0)=18,20,IF(ROUNDUP(I43,0)=19,22,IF(ROUNDUP(I43,0)=20,22,IF(ROUNDUP(I43,0)=21,24,IF(ROUNDUP(I43,0)=23,26,IF(ROUNDUP(I43,0)=24,26,IF(ROUNDUP(I43,0)=25,28)))))))))))))))))))))</f>
        <v>10</v>
      </c>
      <c r="E46" s="147" t="s">
        <v>322</v>
      </c>
      <c r="F46" s="104"/>
      <c r="G46" s="104"/>
      <c r="H46" s="104"/>
      <c r="I46" s="104"/>
      <c r="J46" s="104"/>
      <c r="K46" s="104"/>
      <c r="O46" s="261" t="s">
        <v>448</v>
      </c>
      <c r="P46" s="262" t="s">
        <v>447</v>
      </c>
    </row>
    <row r="47" spans="1:20" ht="20.1" customHeight="1">
      <c r="A47" s="88"/>
      <c r="B47" s="164"/>
      <c r="C47" s="164"/>
      <c r="D47" s="165"/>
      <c r="E47" s="147"/>
      <c r="F47" s="104"/>
      <c r="G47" s="104"/>
      <c r="H47" s="104"/>
      <c r="I47" s="104"/>
      <c r="J47" s="104"/>
      <c r="K47" s="104"/>
      <c r="O47" s="261" t="s">
        <v>448</v>
      </c>
      <c r="P47" s="106">
        <f ca="1">(250*I41/500)/251</f>
        <v>1.7928286852589641</v>
      </c>
      <c r="Q47" s="56" t="s">
        <v>322</v>
      </c>
      <c r="S47" s="266" t="s">
        <v>453</v>
      </c>
      <c r="T47" s="266">
        <f ca="1">I41-(2*P47)+I42</f>
        <v>897.91434262948212</v>
      </c>
    </row>
    <row r="48" spans="1:20" ht="20.1" customHeight="1">
      <c r="A48" s="125"/>
      <c r="B48" s="390" t="s">
        <v>357</v>
      </c>
      <c r="C48" s="390"/>
      <c r="D48" s="390"/>
      <c r="E48" s="390"/>
      <c r="F48" s="390"/>
      <c r="G48" s="390"/>
      <c r="H48" s="390"/>
      <c r="I48" s="390"/>
      <c r="J48" s="390"/>
      <c r="K48" s="108"/>
      <c r="S48" s="266" t="s">
        <v>454</v>
      </c>
      <c r="T48" s="267">
        <f ca="1">(2+(T47/(T47/2))^2)/6</f>
        <v>1</v>
      </c>
    </row>
    <row r="49" spans="2:16" ht="20.1" customHeight="1" thickBot="1">
      <c r="B49" s="110" t="s">
        <v>358</v>
      </c>
      <c r="C49" s="111"/>
      <c r="D49" s="111"/>
      <c r="E49" s="111"/>
      <c r="F49" s="111"/>
      <c r="O49" s="264" t="s">
        <v>451</v>
      </c>
      <c r="P49" s="174"/>
    </row>
    <row r="50" spans="2:19" ht="20.1" customHeight="1">
      <c r="B50" s="112" t="s">
        <v>342</v>
      </c>
      <c r="J50" s="83" t="s">
        <v>343</v>
      </c>
      <c r="K50" s="84">
        <v>50</v>
      </c>
      <c r="L50" s="86" t="s">
        <v>322</v>
      </c>
      <c r="O50" s="261" t="s">
        <v>452</v>
      </c>
      <c r="P50" s="87">
        <f ca="1">((G37*G41*T48)/(2*G38*G39+2*G37*(T48-0.1)))+G42</f>
        <v>0.28762280575019861</v>
      </c>
      <c r="R50" s="265" t="s">
        <v>452</v>
      </c>
      <c r="S50" s="265">
        <f ca="1">P50*25.4</f>
        <v>7.3056192660550439</v>
      </c>
    </row>
    <row r="51" spans="2:12" ht="20.1" customHeight="1">
      <c r="B51" s="113" t="s">
        <v>344</v>
      </c>
      <c r="C51" s="113"/>
      <c r="J51" s="80" t="s">
        <v>345</v>
      </c>
      <c r="K51" s="81">
        <v>3.141</v>
      </c>
      <c r="L51" s="82"/>
    </row>
    <row r="52" spans="2:12" ht="20.1" customHeight="1">
      <c r="B52" s="126" t="s">
        <v>359</v>
      </c>
      <c r="C52" s="126"/>
      <c r="D52" s="126"/>
      <c r="E52" s="126"/>
      <c r="F52" s="126"/>
      <c r="G52" s="126"/>
      <c r="H52" s="126"/>
      <c r="J52" s="80" t="s">
        <v>360</v>
      </c>
      <c r="K52" s="127">
        <f ca="1">K60</f>
        <v>1123.4285714285716</v>
      </c>
      <c r="L52" s="82" t="s">
        <v>322</v>
      </c>
    </row>
    <row r="53" spans="2:12" ht="20.1" customHeight="1" thickBot="1">
      <c r="B53" s="113" t="s">
        <v>347</v>
      </c>
      <c r="C53" s="113"/>
      <c r="D53" s="113"/>
      <c r="J53" s="80" t="s">
        <v>348</v>
      </c>
      <c r="K53" s="43">
        <f ca="1">D46</f>
        <v>10</v>
      </c>
      <c r="L53" s="82" t="s">
        <v>322</v>
      </c>
    </row>
    <row r="54" spans="2:17" ht="20.1" customHeight="1" thickTop="1" thickBot="1">
      <c r="B54" s="113" t="s">
        <v>349</v>
      </c>
      <c r="C54" s="113"/>
      <c r="D54" s="113"/>
      <c r="J54" s="114" t="s">
        <v>311</v>
      </c>
      <c r="K54" s="115">
        <f ca="1">K29</f>
        <v>7750</v>
      </c>
      <c r="L54" s="116" t="s">
        <v>350</v>
      </c>
      <c r="N54" s="371" t="s">
        <v>407</v>
      </c>
      <c r="O54" s="372"/>
      <c r="P54" s="372"/>
      <c r="Q54" s="373"/>
    </row>
    <row r="55" spans="2:17" ht="20.1" customHeight="1" thickTop="1" thickBot="1">
      <c r="B55" s="113"/>
      <c r="C55" s="113"/>
      <c r="D55" s="113"/>
      <c r="I55" s="150" t="s">
        <v>361</v>
      </c>
      <c r="J55" s="11"/>
      <c r="K55" s="117">
        <f ca="1">(K51*(K52/1000)^2*(K53/1000)*K54)/4</f>
        <v>76.806960178775554</v>
      </c>
      <c r="L55" s="118" t="s">
        <v>34</v>
      </c>
      <c r="N55" s="366" t="s">
        <v>384</v>
      </c>
      <c r="O55" s="366"/>
      <c r="P55" s="119">
        <f ca="1">K55*1.1</f>
        <v>84.48765619665312</v>
      </c>
      <c r="Q55" s="120" t="s">
        <v>34</v>
      </c>
    </row>
    <row r="56" spans="1:20" ht="20.1" customHeight="1">
      <c r="A56" s="88"/>
      <c r="B56" s="121" t="s">
        <v>353</v>
      </c>
      <c r="C56" s="107"/>
      <c r="D56" s="107"/>
      <c r="F56" s="105"/>
      <c r="G56" s="106"/>
      <c r="H56" s="87"/>
      <c r="I56" s="92"/>
      <c r="J56" s="106"/>
      <c r="K56" s="87"/>
      <c r="M56" s="108"/>
      <c r="N56" s="108"/>
      <c r="O56" s="89"/>
      <c r="P56" s="89"/>
      <c r="Q56" s="89"/>
      <c r="R56" s="89"/>
      <c r="S56" s="89"/>
      <c r="T56" s="89"/>
    </row>
    <row r="57" spans="1:20" ht="20.1" customHeight="1" thickBot="1">
      <c r="A57" s="88"/>
      <c r="B57" s="166" t="s">
        <v>383</v>
      </c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89"/>
      <c r="Q57" s="89"/>
      <c r="R57" s="89"/>
      <c r="S57" s="89"/>
      <c r="T57" s="89"/>
    </row>
    <row r="58" spans="11:17" ht="20.1" customHeight="1" thickTop="1" thickBot="1">
      <c r="K58" s="140"/>
      <c r="N58" s="367" t="s">
        <v>411</v>
      </c>
      <c r="O58" s="368"/>
      <c r="P58" s="368"/>
      <c r="Q58" s="369"/>
    </row>
    <row r="59" spans="2:17" ht="20.1" customHeight="1" thickTop="1" thickBot="1">
      <c r="B59" s="132" t="s">
        <v>362</v>
      </c>
      <c r="C59" s="132"/>
      <c r="D59" s="132"/>
      <c r="E59" s="132"/>
      <c r="F59" s="132"/>
      <c r="G59" s="132"/>
      <c r="N59" s="366" t="s">
        <v>406</v>
      </c>
      <c r="O59" s="366"/>
      <c r="P59" s="119">
        <f ca="1">4*11.1</f>
        <v>44.4</v>
      </c>
      <c r="Q59" s="120" t="s">
        <v>34</v>
      </c>
    </row>
    <row r="60" spans="2:12" ht="20.1" customHeight="1" thickTop="1" thickBot="1">
      <c r="B60" s="110" t="s">
        <v>363</v>
      </c>
      <c r="C60" s="110"/>
      <c r="D60" s="110"/>
      <c r="E60" s="110"/>
      <c r="F60" s="110"/>
      <c r="G60" s="110"/>
      <c r="J60" s="128" t="s">
        <v>360</v>
      </c>
      <c r="K60" s="129">
        <f ca="1">$I$41+$I$41/42+2*$K$50+((2/3)*$K$67)</f>
        <v>1123.4285714285716</v>
      </c>
      <c r="L60" s="130" t="s">
        <v>322</v>
      </c>
    </row>
    <row r="61" spans="2:17" ht="20.1" customHeight="1" thickTop="1" thickBot="1">
      <c r="B61" s="131"/>
      <c r="N61" s="367" t="s">
        <v>408</v>
      </c>
      <c r="O61" s="368"/>
      <c r="P61" s="368"/>
      <c r="Q61" s="369"/>
    </row>
    <row r="62" spans="2:17" ht="20.1" customHeight="1" thickTop="1" thickBot="1">
      <c r="B62" s="388" t="s">
        <v>364</v>
      </c>
      <c r="C62" s="388"/>
      <c r="D62" s="388"/>
      <c r="E62" s="388"/>
      <c r="F62" s="388"/>
      <c r="G62" s="388"/>
      <c r="H62" s="388"/>
      <c r="N62" s="366" t="s">
        <v>409</v>
      </c>
      <c r="O62" s="366"/>
      <c r="P62" s="119">
        <f ca="1">4*D21*7850*250*250*10^-9</f>
        <v>19.625</v>
      </c>
      <c r="Q62" s="120" t="s">
        <v>34</v>
      </c>
    </row>
    <row r="63" spans="2:12" ht="20.1" customHeight="1" thickTop="1" thickBot="1">
      <c r="B63" s="110" t="s">
        <v>365</v>
      </c>
      <c r="C63" s="110"/>
      <c r="D63" s="110"/>
      <c r="E63" s="110"/>
      <c r="F63" s="110"/>
      <c r="G63" s="110"/>
      <c r="H63" s="110"/>
      <c r="J63" s="128" t="s">
        <v>360</v>
      </c>
      <c r="K63" s="277"/>
      <c r="L63" s="130" t="s">
        <v>322</v>
      </c>
    </row>
    <row r="64" spans="2:17" ht="20.1" customHeight="1" thickTop="1" thickBot="1">
      <c r="B64" s="132" t="s">
        <v>342</v>
      </c>
      <c r="N64" s="367" t="s">
        <v>410</v>
      </c>
      <c r="O64" s="368"/>
      <c r="P64" s="368"/>
      <c r="Q64" s="369"/>
    </row>
    <row r="65" spans="2:17" ht="20.1" customHeight="1" thickTop="1" thickBot="1">
      <c r="B65" s="389" t="s">
        <v>366</v>
      </c>
      <c r="C65" s="389"/>
      <c r="D65" s="389"/>
      <c r="E65" s="389"/>
      <c r="F65" s="389"/>
      <c r="N65" s="366" t="s">
        <v>430</v>
      </c>
      <c r="O65" s="366"/>
      <c r="P65" s="119">
        <f ca="1">4*27*7850*300*300*10^-9</f>
        <v>76.302</v>
      </c>
      <c r="Q65" s="120" t="s">
        <v>34</v>
      </c>
    </row>
    <row r="66" spans="2:5" ht="20.1" customHeight="1" thickTop="1" thickBot="1">
      <c r="B66" s="133" t="s">
        <v>367</v>
      </c>
      <c r="C66" s="133"/>
      <c r="D66" s="133"/>
      <c r="E66" s="133"/>
    </row>
    <row r="67" spans="2:17" ht="20.1" customHeight="1" thickTop="1" thickBot="1">
      <c r="B67" s="133" t="s">
        <v>455</v>
      </c>
      <c r="C67" s="133"/>
      <c r="D67" s="133"/>
      <c r="E67" s="133"/>
      <c r="J67" s="128" t="s">
        <v>368</v>
      </c>
      <c r="K67" s="129">
        <f ca="1">0.17*($I$41)</f>
        <v>153</v>
      </c>
      <c r="L67" s="130" t="s">
        <v>322</v>
      </c>
      <c r="N67" s="367" t="s">
        <v>412</v>
      </c>
      <c r="O67" s="368"/>
      <c r="P67" s="368"/>
      <c r="Q67" s="369"/>
    </row>
    <row r="68" spans="2:17" ht="19.9" customHeight="1" thickTop="1" thickBot="1">
      <c r="B68" s="133" t="s">
        <v>347</v>
      </c>
      <c r="C68" s="133"/>
      <c r="D68" s="133"/>
      <c r="E68" s="133"/>
      <c r="N68" s="366" t="s">
        <v>413</v>
      </c>
      <c r="O68" s="366"/>
      <c r="P68" s="119">
        <v>250</v>
      </c>
      <c r="Q68" s="120" t="s">
        <v>34</v>
      </c>
    </row>
    <row r="69" spans="2:17" ht="20.1" customHeight="1" thickTop="1" thickBot="1">
      <c r="B69" s="133"/>
      <c r="C69" s="133"/>
      <c r="D69" s="133"/>
      <c r="E69" s="133"/>
      <c r="K69" s="140"/>
      <c r="N69" s="172"/>
      <c r="O69" s="172"/>
      <c r="P69" s="173"/>
      <c r="Q69" s="2"/>
    </row>
    <row r="70" spans="2:17" ht="20.1" customHeight="1" thickTop="1" thickBot="1">
      <c r="B70" s="133"/>
      <c r="C70" s="133"/>
      <c r="D70" s="133"/>
      <c r="E70" s="133"/>
      <c r="N70" s="367" t="s">
        <v>414</v>
      </c>
      <c r="O70" s="368"/>
      <c r="P70" s="368"/>
      <c r="Q70" s="369"/>
    </row>
    <row r="71" spans="2:17" ht="20.1" customHeight="1" thickTop="1" thickBot="1">
      <c r="B71" s="133"/>
      <c r="C71" s="133"/>
      <c r="D71" s="133"/>
      <c r="E71" s="133"/>
      <c r="N71" s="370" t="s">
        <v>415</v>
      </c>
      <c r="O71" s="370"/>
      <c r="P71" s="119">
        <v>250</v>
      </c>
      <c r="Q71" s="120" t="s">
        <v>34</v>
      </c>
    </row>
    <row r="72" spans="2:9" ht="20.1" customHeight="1" thickTop="1">
      <c r="B72" s="121" t="s">
        <v>353</v>
      </c>
      <c r="C72" s="107"/>
      <c r="D72" s="107"/>
      <c r="F72" s="105"/>
      <c r="G72" s="106"/>
      <c r="H72" s="87"/>
      <c r="I72" s="92"/>
    </row>
    <row r="73" spans="2:9" ht="20.1" customHeight="1" thickBot="1">
      <c r="B73" s="122" t="s">
        <v>354</v>
      </c>
      <c r="C73" s="123"/>
      <c r="D73" s="123"/>
      <c r="E73" s="123"/>
      <c r="F73" s="123"/>
      <c r="G73" s="123"/>
      <c r="H73" s="123"/>
      <c r="I73" s="123"/>
    </row>
    <row r="74" spans="14:21" ht="20.1" customHeight="1" thickBot="1">
      <c r="N74" s="360" t="s">
        <v>385</v>
      </c>
      <c r="O74" s="361"/>
      <c r="P74" s="361"/>
      <c r="Q74" s="361"/>
      <c r="R74" s="361"/>
      <c r="S74" s="361"/>
      <c r="T74" s="361"/>
      <c r="U74" s="362"/>
    </row>
    <row r="75" spans="2:21" ht="24.95" customHeight="1" thickBot="1">
      <c r="B75" s="380" t="s">
        <v>369</v>
      </c>
      <c r="C75" s="381"/>
      <c r="D75" s="381"/>
      <c r="E75" s="381"/>
      <c r="F75" s="381"/>
      <c r="G75" s="381"/>
      <c r="H75" s="382"/>
      <c r="I75" s="134"/>
      <c r="J75" s="135" t="s">
        <v>370</v>
      </c>
      <c r="K75" s="136">
        <f ca="1">K31+2*K55</f>
        <v>474.93822035755113</v>
      </c>
      <c r="L75" s="137" t="s">
        <v>371</v>
      </c>
      <c r="M75" s="138"/>
      <c r="N75" s="363" t="s">
        <v>386</v>
      </c>
      <c r="O75" s="364"/>
      <c r="P75" s="364"/>
      <c r="Q75" s="364"/>
      <c r="R75" s="364"/>
      <c r="S75" s="365"/>
      <c r="T75" s="167">
        <f ca="1">(P31+2*P55)*1.05</f>
        <v>548.55364451297169</v>
      </c>
      <c r="U75" s="11" t="s">
        <v>34</v>
      </c>
    </row>
    <row r="76" spans="2:20" ht="20.1" customHeight="1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47"/>
    </row>
    <row r="77" spans="2:20" ht="20.1" customHeight="1"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</row>
    <row r="78" ht="20.1" customHeight="1"/>
    <row r="79" ht="20.1" customHeight="1"/>
    <row r="80" ht="20.1" customHeight="1"/>
    <row r="81" spans="5:5" ht="20.1" customHeight="1">
      <c r="E81" s="87"/>
    </row>
    <row r="82" spans="5:5" ht="20.1" customHeight="1">
      <c r="E82" s="87"/>
    </row>
    <row r="83" spans="5:5" ht="20.1" customHeight="1">
      <c r="E83" s="87"/>
    </row>
    <row r="84" spans="5:5" ht="20.1" customHeight="1">
      <c r="E84" s="87"/>
    </row>
    <row r="85" spans="5:5" ht="20.1" customHeight="1">
      <c r="E85" s="87"/>
    </row>
    <row r="86" ht="20.1" customHeight="1"/>
    <row r="87" ht="20.1" customHeight="1"/>
    <row r="88" ht="20.1" customHeight="1"/>
    <row r="89" ht="20.1" customHeight="1"/>
    <row r="90" ht="20.1" customHeight="1"/>
    <row r="91" ht="20.1" customHeight="1"/>
    <row r="92" ht="20.1" customHeight="1"/>
    <row r="93" ht="20.1" customHeight="1"/>
    <row r="94" ht="20.1" customHeight="1"/>
    <row r="95" ht="20.1" customHeight="1"/>
    <row r="96" ht="20.1" customHeight="1"/>
    <row r="97" ht="20.1" customHeight="1"/>
    <row r="98" ht="20.1" customHeight="1"/>
    <row r="99" ht="20.1" customHeight="1"/>
    <row r="100" ht="20.1" customHeight="1"/>
    <row r="101" ht="20.1" customHeight="1"/>
    <row r="102" ht="20.1" customHeight="1"/>
    <row r="103" ht="20.1" customHeight="1"/>
    <row r="104" ht="20.1" customHeight="1"/>
    <row r="105" ht="20.1" customHeight="1"/>
    <row r="106" ht="20.1" customHeight="1"/>
    <row r="107" ht="20.1" customHeight="1"/>
    <row r="108" ht="20.1" customHeight="1"/>
    <row r="109" ht="20.1" customHeight="1"/>
    <row r="110" ht="20.1" customHeight="1"/>
    <row r="111" ht="20.1" customHeight="1"/>
    <row r="112" ht="20.1" customHeight="1"/>
    <row r="113" ht="20.1" customHeight="1"/>
    <row r="114" ht="20.1" customHeight="1"/>
    <row r="115" ht="20.1" customHeight="1"/>
    <row r="116" ht="20.1" customHeight="1"/>
    <row r="117" ht="20.1" customHeight="1"/>
    <row r="118" ht="20.1" customHeight="1"/>
    <row r="119" ht="20.1" customHeight="1"/>
    <row r="120" ht="20.1" customHeight="1"/>
    <row r="121" ht="20.1" customHeight="1"/>
    <row r="122" ht="20.1" customHeight="1"/>
    <row r="123" ht="20.1" customHeight="1"/>
    <row r="124" ht="20.1" customHeight="1"/>
    <row r="125" ht="20.1" customHeight="1"/>
    <row r="126" ht="20.1" customHeight="1"/>
    <row r="127" ht="20.1" customHeight="1"/>
    <row r="128" ht="20.1" customHeight="1"/>
    <row r="129" ht="20.1" customHeight="1"/>
    <row r="130" ht="20.1" customHeight="1"/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  <row r="165" ht="20.1" customHeight="1"/>
    <row r="166" ht="20.1" customHeight="1"/>
    <row r="167" ht="20.1" customHeight="1"/>
    <row r="168" ht="20.1" customHeight="1"/>
    <row r="169" ht="20.1" customHeight="1"/>
    <row r="170" ht="20.1" customHeight="1"/>
    <row r="171" ht="20.1" customHeight="1"/>
    <row r="172" ht="20.1" customHeight="1"/>
    <row r="173" ht="20.1" customHeight="1"/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/>
    <row r="191" ht="20.1" customHeight="1"/>
    <row r="192" ht="20.1" customHeight="1"/>
    <row r="193" ht="20.1" customHeight="1"/>
    <row r="194" ht="20.1" customHeight="1"/>
    <row r="195" ht="20.1" customHeight="1"/>
    <row r="196" ht="20.1" customHeight="1"/>
    <row r="197" ht="20.1" customHeight="1"/>
    <row r="198" ht="20.1" customHeight="1"/>
    <row r="199" ht="20.1" customHeight="1"/>
    <row r="200" ht="20.1" customHeight="1"/>
    <row r="201" ht="20.1" customHeight="1"/>
    <row r="202" ht="20.1" customHeight="1"/>
    <row r="203" ht="20.1" customHeight="1"/>
    <row r="204" ht="20.1" customHeight="1"/>
    <row r="205" ht="20.1" customHeight="1"/>
    <row r="206" ht="20.1" customHeight="1"/>
    <row r="207" ht="20.1" customHeight="1"/>
    <row r="208" ht="20.1" customHeight="1"/>
    <row r="209" ht="20.1" customHeight="1"/>
    <row r="210" ht="20.1" customHeight="1"/>
    <row r="211" ht="20.1" customHeight="1"/>
    <row r="212" ht="20.1" customHeight="1"/>
    <row r="213" ht="20.1" customHeight="1"/>
    <row r="214" ht="20.1" customHeight="1"/>
    <row r="215" ht="20.1" customHeight="1"/>
    <row r="216" ht="20.1" customHeight="1"/>
    <row r="217" ht="20.1" customHeight="1"/>
    <row r="218" ht="20.1" customHeight="1"/>
    <row r="219" ht="20.1" customHeight="1"/>
    <row r="220" ht="20.1" customHeight="1"/>
    <row r="221" ht="20.1" customHeight="1"/>
    <row r="222" ht="20.1" customHeight="1"/>
    <row r="223" ht="20.1" customHeight="1"/>
    <row r="224" ht="20.1" customHeight="1"/>
    <row r="225" ht="20.1" customHeight="1"/>
    <row r="226" ht="20.1" customHeight="1"/>
    <row r="227" ht="20.1" customHeight="1"/>
    <row r="228" ht="20.1" customHeight="1"/>
    <row r="229" ht="20.1" customHeight="1"/>
    <row r="230" ht="20.1" customHeight="1"/>
    <row r="231" ht="20.1" customHeight="1"/>
    <row r="232" ht="20.1" customHeight="1"/>
    <row r="233" ht="20.1" customHeight="1"/>
    <row r="234" ht="20.1" customHeight="1"/>
    <row r="235" ht="20.1" customHeight="1"/>
    <row r="236" ht="20.1" customHeight="1"/>
    <row r="237" ht="20.1" customHeight="1"/>
    <row r="238" ht="20.1" customHeight="1"/>
    <row r="239" ht="20.1" customHeight="1"/>
    <row r="240" ht="20.1" customHeight="1"/>
    <row r="241" ht="20.1" customHeight="1"/>
    <row r="242" ht="20.1" customHeight="1"/>
    <row r="243" ht="20.1" customHeight="1"/>
    <row r="244" ht="20.1" customHeight="1"/>
    <row r="245" ht="20.1" customHeight="1"/>
    <row r="246" ht="20.1" customHeight="1"/>
    <row r="247" ht="20.1" customHeight="1"/>
    <row r="248" ht="20.1" customHeight="1"/>
    <row r="249" ht="20.1" customHeight="1"/>
    <row r="250" ht="20.1" customHeight="1"/>
    <row r="251" ht="20.1" customHeight="1"/>
    <row r="252" ht="20.1" customHeight="1"/>
    <row r="253" ht="20.1" customHeight="1"/>
    <row r="254" ht="20.1" customHeight="1"/>
    <row r="255" ht="20.1" customHeight="1"/>
    <row r="256" ht="20.1" customHeight="1"/>
    <row r="257" ht="20.1" customHeight="1"/>
    <row r="258" ht="20.1" customHeight="1"/>
    <row r="259" ht="20.1" customHeight="1"/>
    <row r="260" ht="20.1" customHeight="1"/>
    <row r="261" ht="20.1" customHeight="1"/>
    <row r="262" ht="20.1" customHeight="1"/>
    <row r="263" ht="20.1" customHeight="1"/>
    <row r="264" ht="20.1" customHeight="1"/>
    <row r="265" ht="20.1" customHeight="1"/>
    <row r="266" ht="20.1" customHeight="1"/>
    <row r="267" ht="20.1" customHeight="1"/>
    <row r="268" ht="20.1" customHeight="1"/>
    <row r="269" ht="20.1" customHeight="1"/>
    <row r="270" ht="20.1" customHeight="1"/>
    <row r="271" ht="20.1" customHeight="1"/>
    <row r="272" ht="20.1" customHeight="1"/>
    <row r="273" ht="20.1" customHeight="1"/>
    <row r="274" ht="20.1" customHeight="1"/>
    <row r="275" ht="20.1" customHeight="1"/>
    <row r="276" ht="20.1" customHeight="1"/>
    <row r="277" ht="20.1" customHeight="1"/>
    <row r="278" ht="20.1" customHeight="1"/>
    <row r="279" ht="20.1" customHeight="1"/>
    <row r="280" ht="20.1" customHeight="1"/>
    <row r="281" ht="20.1" customHeight="1"/>
    <row r="282" ht="20.1" customHeight="1"/>
    <row r="283" ht="20.1" customHeight="1"/>
    <row r="284" ht="20.1" customHeight="1"/>
    <row r="285" ht="20.1" customHeight="1"/>
    <row r="286" ht="20.1" customHeight="1"/>
    <row r="287" ht="20.1" customHeight="1"/>
    <row r="288" ht="20.1" customHeight="1"/>
    <row r="289" ht="20.1" customHeight="1"/>
    <row r="290" ht="20.1" customHeight="1"/>
    <row r="291" ht="20.1" customHeight="1"/>
    <row r="292" ht="20.1" customHeight="1"/>
    <row r="293" ht="20.1" customHeight="1"/>
    <row r="294" ht="20.1" customHeight="1"/>
    <row r="295" ht="20.1" customHeight="1"/>
    <row r="296" ht="20.1" customHeight="1"/>
    <row r="297" ht="20.1" customHeight="1"/>
    <row r="298" ht="20.1" customHeight="1"/>
    <row r="299" ht="20.1" customHeight="1"/>
    <row r="300" ht="20.1" customHeight="1"/>
    <row r="301" ht="20.1" customHeight="1"/>
    <row r="302" ht="20.1" customHeight="1"/>
    <row r="303" ht="20.1" customHeight="1"/>
    <row r="304" ht="20.1" customHeight="1"/>
    <row r="305" ht="20.1" customHeight="1"/>
    <row r="306" ht="20.1" customHeight="1"/>
    <row r="307" ht="20.1" customHeight="1"/>
    <row r="308" ht="20.1" customHeight="1"/>
    <row r="309" ht="20.1" customHeight="1"/>
    <row r="310" ht="20.1" customHeight="1"/>
    <row r="311" ht="20.1" customHeight="1"/>
    <row r="312" ht="20.1" customHeight="1"/>
    <row r="313" ht="20.1" customHeight="1"/>
    <row r="314" ht="20.1" customHeight="1"/>
    <row r="315" ht="20.1" customHeight="1"/>
    <row r="316" ht="20.1" customHeight="1"/>
    <row r="317" ht="20.1" customHeight="1"/>
    <row r="318" ht="20.1" customHeight="1"/>
    <row r="319" ht="20.1" customHeight="1"/>
    <row r="320" ht="20.1" customHeight="1"/>
    <row r="321" ht="20.1" customHeight="1"/>
    <row r="322" ht="20.1" customHeight="1"/>
    <row r="323" ht="20.1" customHeight="1"/>
    <row r="324" ht="20.1" customHeight="1"/>
    <row r="325" ht="20.1" customHeight="1"/>
    <row r="326" ht="20.1" customHeight="1"/>
    <row r="327" ht="20.1" customHeight="1"/>
    <row r="328" ht="20.1" customHeight="1"/>
    <row r="329" ht="20.1" customHeight="1"/>
    <row r="330" ht="20.1" customHeight="1"/>
    <row r="331" ht="20.1" customHeight="1"/>
    <row r="332" ht="20.1" customHeight="1"/>
    <row r="333" ht="20.1" customHeight="1"/>
    <row r="334" ht="20.1" customHeight="1"/>
    <row r="335" ht="20.1" customHeight="1"/>
    <row r="336" ht="20.1" customHeight="1"/>
    <row r="337" ht="20.1" customHeight="1"/>
    <row r="338" ht="20.1" customHeight="1"/>
    <row r="339" ht="20.1" customHeight="1"/>
  </sheetData>
  <mergeCells count="68">
    <mergeCell ref="M12:N12"/>
    <mergeCell ref="B9:T9"/>
    <mergeCell ref="N58:Q58"/>
    <mergeCell ref="N59:O59"/>
    <mergeCell ref="N61:Q61"/>
    <mergeCell ref="B28:D28"/>
    <mergeCell ref="M13:N13"/>
    <mergeCell ref="M14:N14"/>
    <mergeCell ref="M15:N15"/>
    <mergeCell ref="M16:N16"/>
    <mergeCell ref="M17:N17"/>
    <mergeCell ref="M18:N18"/>
    <mergeCell ref="B19:D19"/>
    <mergeCell ref="M19:N19"/>
    <mergeCell ref="B23:J23"/>
    <mergeCell ref="B26:C26"/>
    <mergeCell ref="B2:T4"/>
    <mergeCell ref="C6:D6"/>
    <mergeCell ref="C7:D7"/>
    <mergeCell ref="M11:P11"/>
    <mergeCell ref="Q11:T11"/>
    <mergeCell ref="B54:D54"/>
    <mergeCell ref="B27:D27"/>
    <mergeCell ref="B29:D29"/>
    <mergeCell ref="B30:C30"/>
    <mergeCell ref="I31:J31"/>
    <mergeCell ref="B44:D44"/>
    <mergeCell ref="B75:H75"/>
    <mergeCell ref="B21:C21"/>
    <mergeCell ref="I25:J25"/>
    <mergeCell ref="I26:J26"/>
    <mergeCell ref="I27:J27"/>
    <mergeCell ref="I28:J28"/>
    <mergeCell ref="I29:J29"/>
    <mergeCell ref="I30:J30"/>
    <mergeCell ref="B35:T35"/>
    <mergeCell ref="B59:G59"/>
    <mergeCell ref="B62:H62"/>
    <mergeCell ref="B65:F65"/>
    <mergeCell ref="B66:D66"/>
    <mergeCell ref="B67:E67"/>
    <mergeCell ref="B48:J48"/>
    <mergeCell ref="B46:C46"/>
    <mergeCell ref="B68:D68"/>
    <mergeCell ref="B51:C51"/>
    <mergeCell ref="N31:O31"/>
    <mergeCell ref="N54:Q54"/>
    <mergeCell ref="N30:Q30"/>
    <mergeCell ref="N37:O37"/>
    <mergeCell ref="N38:O38"/>
    <mergeCell ref="N39:O39"/>
    <mergeCell ref="N40:O40"/>
    <mergeCell ref="N41:O41"/>
    <mergeCell ref="N42:O42"/>
    <mergeCell ref="N43:O43"/>
    <mergeCell ref="I55:J55"/>
    <mergeCell ref="N55:O55"/>
    <mergeCell ref="B52:G52"/>
    <mergeCell ref="B53:D53"/>
    <mergeCell ref="N74:U74"/>
    <mergeCell ref="N75:S75"/>
    <mergeCell ref="N62:O62"/>
    <mergeCell ref="N64:Q64"/>
    <mergeCell ref="N65:O65"/>
    <mergeCell ref="N67:Q67"/>
    <mergeCell ref="N68:O68"/>
    <mergeCell ref="N70:Q70"/>
    <mergeCell ref="N71:O71"/>
  </mergeCells>
  <pageMargins left="0.7" right="0.7" top="0.75" bottom="0.75" header="0.3" footer="0.3"/>
  <pageSetup paperSize="9" scale="46" orientation="portrait"/>
  <headerFooter scaleWithDoc="1" alignWithMargins="0" differentFirst="0" differentOddEven="0"/>
  <rowBreaks count="1" manualBreakCount="1">
    <brk id="90" max="20" man="1"/>
  </rowBreaks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7030A0"/>
    <pageSetUpPr fitToPage="1"/>
  </sheetPr>
  <dimension ref="A1:AK27"/>
  <sheetViews>
    <sheetView view="pageBreakPreview" workbookViewId="0">
      <selection pane="topLeft" activeCell="AR16" sqref="AR16"/>
    </sheetView>
  </sheetViews>
  <sheetFormatPr defaultRowHeight="15"/>
  <cols>
    <col min="1" max="35" width="2.7109375" customWidth="1"/>
    <col min="36" max="36" width="4" customWidth="1"/>
    <col min="37" max="44" width="2.7109375" customWidth="1"/>
  </cols>
  <sheetData>
    <row r="1" spans="1:36" ht="35.45" customHeight="1">
      <c r="A1" s="83"/>
      <c r="B1" s="84"/>
      <c r="C1" s="84"/>
      <c r="D1" s="84"/>
      <c r="E1" s="84"/>
      <c r="F1" s="84"/>
      <c r="G1" s="84"/>
      <c r="H1" s="84"/>
      <c r="I1" s="84"/>
      <c r="J1" s="440" t="str">
        <f ca="1">'Calculation for sizing HDT '!D2</f>
        <v>SALMAN PLATFORM</v>
      </c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2"/>
      <c r="AB1" s="443"/>
      <c r="AC1" s="444"/>
      <c r="AD1" s="444"/>
      <c r="AE1" s="444"/>
      <c r="AF1" s="444"/>
      <c r="AG1" s="444"/>
      <c r="AH1" s="444"/>
      <c r="AI1" s="444"/>
      <c r="AJ1" s="445"/>
    </row>
    <row r="2" spans="1:36" ht="24.95" customHeight="1">
      <c r="A2" s="80"/>
      <c r="B2" s="81"/>
      <c r="C2" s="81"/>
      <c r="D2" s="81"/>
      <c r="E2" s="81"/>
      <c r="F2" s="81"/>
      <c r="G2" s="81"/>
      <c r="H2" s="81"/>
      <c r="I2" s="81"/>
      <c r="J2" s="448" t="s">
        <v>138</v>
      </c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6"/>
      <c r="AC2" s="446"/>
      <c r="AD2" s="446"/>
      <c r="AE2" s="446"/>
      <c r="AF2" s="446"/>
      <c r="AG2" s="446"/>
      <c r="AH2" s="446"/>
      <c r="AI2" s="446"/>
      <c r="AJ2" s="447"/>
    </row>
    <row r="3" spans="1:36" ht="20.1" customHeight="1">
      <c r="A3" s="449" t="s">
        <v>139</v>
      </c>
      <c r="B3" s="450"/>
      <c r="C3" s="450"/>
      <c r="D3" s="450"/>
      <c r="E3" s="450"/>
      <c r="F3" s="450"/>
      <c r="G3" s="450"/>
      <c r="H3" s="450"/>
      <c r="I3" s="451"/>
      <c r="J3" s="452" t="s">
        <v>140</v>
      </c>
      <c r="K3" s="450"/>
      <c r="L3" s="450"/>
      <c r="M3" s="450"/>
      <c r="N3" s="453">
        <f ca="1">'Calculation for sizing HDT '!D3</f>
        <v>43869</v>
      </c>
      <c r="O3" s="454"/>
      <c r="P3" s="454"/>
      <c r="Q3" s="454"/>
      <c r="R3" s="454"/>
      <c r="S3" s="452" t="s">
        <v>141</v>
      </c>
      <c r="T3" s="450"/>
      <c r="U3" s="450"/>
      <c r="V3" s="450"/>
      <c r="W3" s="455">
        <f ca="1">'Calculation for sizing HDT '!D4</f>
        <v>0</v>
      </c>
      <c r="X3" s="81"/>
      <c r="Y3" s="81"/>
      <c r="Z3" s="81"/>
      <c r="AA3" s="81"/>
      <c r="AB3" s="81" t="s">
        <v>142</v>
      </c>
      <c r="AC3" s="81"/>
      <c r="AD3" s="81"/>
      <c r="AE3" s="81"/>
      <c r="AF3" s="81"/>
      <c r="AG3" s="81"/>
      <c r="AH3" s="81"/>
      <c r="AI3" s="81"/>
      <c r="AJ3" s="82"/>
    </row>
    <row r="4" spans="1:36" ht="29.1" customHeight="1">
      <c r="A4" s="427" t="s">
        <v>143</v>
      </c>
      <c r="B4" s="428"/>
      <c r="C4" s="428"/>
      <c r="D4" s="428"/>
      <c r="E4" s="428"/>
      <c r="F4" s="428"/>
      <c r="G4" s="428"/>
      <c r="H4" s="428"/>
      <c r="I4" s="428"/>
      <c r="J4" s="428"/>
      <c r="K4" s="428"/>
      <c r="L4" s="428"/>
      <c r="M4" s="428"/>
      <c r="N4" s="428"/>
      <c r="O4" s="428"/>
      <c r="P4" s="428"/>
      <c r="Q4" s="428"/>
      <c r="R4" s="428"/>
      <c r="S4" s="428"/>
      <c r="T4" s="428"/>
      <c r="U4" s="428"/>
      <c r="V4" s="428"/>
      <c r="W4" s="428"/>
      <c r="X4" s="428"/>
      <c r="Y4" s="428"/>
      <c r="Z4" s="428"/>
      <c r="AA4" s="428"/>
      <c r="AB4" s="428"/>
      <c r="AC4" s="428"/>
      <c r="AD4" s="428"/>
      <c r="AE4" s="428"/>
      <c r="AF4" s="428"/>
      <c r="AG4" s="428"/>
      <c r="AH4" s="428"/>
      <c r="AI4" s="428"/>
      <c r="AJ4" s="429"/>
    </row>
    <row r="5" spans="1:36" ht="29.1" customHeight="1">
      <c r="A5" s="430"/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1"/>
      <c r="X5" s="431"/>
      <c r="Y5" s="431"/>
      <c r="Z5" s="431"/>
      <c r="AA5" s="431"/>
      <c r="AB5" s="431"/>
      <c r="AC5" s="431"/>
      <c r="AD5" s="431"/>
      <c r="AE5" s="431"/>
      <c r="AF5" s="431"/>
      <c r="AG5" s="431"/>
      <c r="AH5" s="431"/>
      <c r="AI5" s="431"/>
      <c r="AJ5" s="432"/>
    </row>
    <row r="6" spans="1:36" ht="29.1" customHeight="1">
      <c r="A6" s="430"/>
      <c r="B6" s="431"/>
      <c r="C6" s="431"/>
      <c r="D6" s="431"/>
      <c r="E6" s="431"/>
      <c r="F6" s="431"/>
      <c r="G6" s="431"/>
      <c r="H6" s="431"/>
      <c r="I6" s="431"/>
      <c r="J6" s="431"/>
      <c r="K6" s="431"/>
      <c r="L6" s="431"/>
      <c r="M6" s="431"/>
      <c r="N6" s="431"/>
      <c r="O6" s="431"/>
      <c r="P6" s="431"/>
      <c r="Q6" s="431"/>
      <c r="R6" s="431"/>
      <c r="S6" s="431"/>
      <c r="T6" s="431"/>
      <c r="U6" s="431"/>
      <c r="V6" s="431"/>
      <c r="W6" s="431"/>
      <c r="X6" s="431"/>
      <c r="Y6" s="431"/>
      <c r="Z6" s="431"/>
      <c r="AA6" s="431"/>
      <c r="AB6" s="431"/>
      <c r="AC6" s="431"/>
      <c r="AD6" s="431"/>
      <c r="AE6" s="431"/>
      <c r="AF6" s="431"/>
      <c r="AG6" s="431"/>
      <c r="AH6" s="431"/>
      <c r="AI6" s="431"/>
      <c r="AJ6" s="432"/>
    </row>
    <row r="7" spans="1:36" ht="29.1" customHeight="1">
      <c r="A7" s="430"/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  <c r="M7" s="431"/>
      <c r="N7" s="431"/>
      <c r="O7" s="431"/>
      <c r="P7" s="431"/>
      <c r="Q7" s="431"/>
      <c r="R7" s="431"/>
      <c r="S7" s="431"/>
      <c r="T7" s="431"/>
      <c r="U7" s="431"/>
      <c r="V7" s="431"/>
      <c r="W7" s="431"/>
      <c r="X7" s="431"/>
      <c r="Y7" s="431"/>
      <c r="Z7" s="431"/>
      <c r="AA7" s="431"/>
      <c r="AB7" s="431"/>
      <c r="AC7" s="431"/>
      <c r="AD7" s="431"/>
      <c r="AE7" s="431"/>
      <c r="AF7" s="431"/>
      <c r="AG7" s="431"/>
      <c r="AH7" s="431"/>
      <c r="AI7" s="431"/>
      <c r="AJ7" s="432"/>
    </row>
    <row r="8" spans="1:36" ht="29.1" customHeight="1">
      <c r="A8" s="430"/>
      <c r="B8" s="431"/>
      <c r="C8" s="431"/>
      <c r="D8" s="431"/>
      <c r="E8" s="431"/>
      <c r="F8" s="431"/>
      <c r="G8" s="431"/>
      <c r="H8" s="431"/>
      <c r="I8" s="431"/>
      <c r="J8" s="431"/>
      <c r="K8" s="431"/>
      <c r="L8" s="431"/>
      <c r="M8" s="431"/>
      <c r="N8" s="431"/>
      <c r="O8" s="431"/>
      <c r="P8" s="431"/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  <c r="AB8" s="431"/>
      <c r="AC8" s="431"/>
      <c r="AD8" s="431"/>
      <c r="AE8" s="431"/>
      <c r="AF8" s="431"/>
      <c r="AG8" s="431"/>
      <c r="AH8" s="431"/>
      <c r="AI8" s="431"/>
      <c r="AJ8" s="432"/>
    </row>
    <row r="9" spans="1:36" ht="29.1" customHeight="1">
      <c r="A9" s="430"/>
      <c r="B9" s="431"/>
      <c r="C9" s="431"/>
      <c r="D9" s="431"/>
      <c r="E9" s="431"/>
      <c r="F9" s="431"/>
      <c r="G9" s="431"/>
      <c r="H9" s="431"/>
      <c r="I9" s="431"/>
      <c r="J9" s="431"/>
      <c r="K9" s="431"/>
      <c r="L9" s="431"/>
      <c r="M9" s="431"/>
      <c r="N9" s="431"/>
      <c r="O9" s="431"/>
      <c r="P9" s="431"/>
      <c r="Q9" s="431"/>
      <c r="R9" s="431"/>
      <c r="S9" s="431"/>
      <c r="T9" s="431"/>
      <c r="U9" s="431"/>
      <c r="V9" s="431"/>
      <c r="W9" s="431"/>
      <c r="X9" s="431"/>
      <c r="Y9" s="431"/>
      <c r="Z9" s="431"/>
      <c r="AA9" s="431"/>
      <c r="AB9" s="431"/>
      <c r="AC9" s="431"/>
      <c r="AD9" s="431"/>
      <c r="AE9" s="431"/>
      <c r="AF9" s="431"/>
      <c r="AG9" s="431"/>
      <c r="AH9" s="431"/>
      <c r="AI9" s="431"/>
      <c r="AJ9" s="432"/>
    </row>
    <row r="10" spans="1:36" ht="29.1" customHeight="1">
      <c r="A10" s="430"/>
      <c r="B10" s="431"/>
      <c r="C10" s="431"/>
      <c r="D10" s="431"/>
      <c r="E10" s="431"/>
      <c r="F10" s="431"/>
      <c r="G10" s="431"/>
      <c r="H10" s="431"/>
      <c r="I10" s="431"/>
      <c r="J10" s="431"/>
      <c r="K10" s="431"/>
      <c r="L10" s="431"/>
      <c r="M10" s="431"/>
      <c r="N10" s="431"/>
      <c r="O10" s="431"/>
      <c r="P10" s="431"/>
      <c r="Q10" s="431"/>
      <c r="R10" s="431"/>
      <c r="S10" s="431"/>
      <c r="T10" s="431"/>
      <c r="U10" s="431"/>
      <c r="V10" s="431"/>
      <c r="W10" s="431"/>
      <c r="X10" s="431"/>
      <c r="Y10" s="431"/>
      <c r="Z10" s="431"/>
      <c r="AA10" s="431"/>
      <c r="AB10" s="431"/>
      <c r="AC10" s="431"/>
      <c r="AD10" s="431"/>
      <c r="AE10" s="431"/>
      <c r="AF10" s="431"/>
      <c r="AG10" s="431"/>
      <c r="AH10" s="431"/>
      <c r="AI10" s="431"/>
      <c r="AJ10" s="432"/>
    </row>
    <row r="11" spans="1:36" ht="29.1" customHeight="1">
      <c r="A11" s="430"/>
      <c r="B11" s="431"/>
      <c r="C11" s="431"/>
      <c r="D11" s="431"/>
      <c r="E11" s="431"/>
      <c r="F11" s="431"/>
      <c r="G11" s="431"/>
      <c r="H11" s="431"/>
      <c r="I11" s="431"/>
      <c r="J11" s="431"/>
      <c r="K11" s="431"/>
      <c r="L11" s="431"/>
      <c r="M11" s="431"/>
      <c r="N11" s="431"/>
      <c r="O11" s="431"/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/>
      <c r="AA11" s="431"/>
      <c r="AB11" s="431"/>
      <c r="AC11" s="431"/>
      <c r="AD11" s="431"/>
      <c r="AE11" s="431"/>
      <c r="AF11" s="431"/>
      <c r="AG11" s="431"/>
      <c r="AH11" s="431"/>
      <c r="AI11" s="431"/>
      <c r="AJ11" s="432"/>
    </row>
    <row r="12" spans="1:36" ht="29.1" customHeight="1">
      <c r="A12" s="430"/>
      <c r="B12" s="431"/>
      <c r="C12" s="431"/>
      <c r="D12" s="431"/>
      <c r="E12" s="431"/>
      <c r="F12" s="431"/>
      <c r="G12" s="431"/>
      <c r="H12" s="431"/>
      <c r="I12" s="431"/>
      <c r="J12" s="431"/>
      <c r="K12" s="431"/>
      <c r="L12" s="431"/>
      <c r="M12" s="431"/>
      <c r="N12" s="431"/>
      <c r="O12" s="431"/>
      <c r="P12" s="431"/>
      <c r="Q12" s="431"/>
      <c r="R12" s="431"/>
      <c r="S12" s="431"/>
      <c r="T12" s="431"/>
      <c r="U12" s="431"/>
      <c r="V12" s="431"/>
      <c r="W12" s="431"/>
      <c r="X12" s="431"/>
      <c r="Y12" s="431"/>
      <c r="Z12" s="431"/>
      <c r="AA12" s="431"/>
      <c r="AB12" s="431"/>
      <c r="AC12" s="431"/>
      <c r="AD12" s="431"/>
      <c r="AE12" s="431"/>
      <c r="AF12" s="431"/>
      <c r="AG12" s="431"/>
      <c r="AH12" s="431"/>
      <c r="AI12" s="431"/>
      <c r="AJ12" s="432"/>
    </row>
    <row r="13" spans="1:36" ht="29.1" customHeight="1">
      <c r="A13" s="430"/>
      <c r="B13" s="431"/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431"/>
      <c r="N13" s="431"/>
      <c r="O13" s="431"/>
      <c r="P13" s="431"/>
      <c r="Q13" s="431"/>
      <c r="R13" s="431"/>
      <c r="S13" s="431"/>
      <c r="T13" s="431"/>
      <c r="U13" s="431"/>
      <c r="V13" s="431"/>
      <c r="W13" s="431"/>
      <c r="X13" s="431"/>
      <c r="Y13" s="431"/>
      <c r="Z13" s="431"/>
      <c r="AA13" s="431"/>
      <c r="AB13" s="431"/>
      <c r="AC13" s="431"/>
      <c r="AD13" s="431"/>
      <c r="AE13" s="431"/>
      <c r="AF13" s="431"/>
      <c r="AG13" s="431"/>
      <c r="AH13" s="431"/>
      <c r="AI13" s="431"/>
      <c r="AJ13" s="432"/>
    </row>
    <row r="14" spans="1:36" ht="29.1" customHeight="1">
      <c r="A14" s="430"/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  <c r="M14" s="431"/>
      <c r="N14" s="431"/>
      <c r="O14" s="431"/>
      <c r="P14" s="431"/>
      <c r="Q14" s="431"/>
      <c r="R14" s="431"/>
      <c r="S14" s="431"/>
      <c r="T14" s="431"/>
      <c r="U14" s="431"/>
      <c r="V14" s="431"/>
      <c r="W14" s="431"/>
      <c r="X14" s="431"/>
      <c r="Y14" s="431"/>
      <c r="Z14" s="431"/>
      <c r="AA14" s="431"/>
      <c r="AB14" s="431"/>
      <c r="AC14" s="431"/>
      <c r="AD14" s="431"/>
      <c r="AE14" s="431"/>
      <c r="AF14" s="431"/>
      <c r="AG14" s="431"/>
      <c r="AH14" s="431"/>
      <c r="AI14" s="431"/>
      <c r="AJ14" s="432"/>
    </row>
    <row r="15" spans="1:36" ht="29.1" customHeight="1">
      <c r="A15" s="430"/>
      <c r="B15" s="431"/>
      <c r="C15" s="431"/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1"/>
      <c r="O15" s="431"/>
      <c r="P15" s="431"/>
      <c r="Q15" s="431"/>
      <c r="R15" s="431"/>
      <c r="S15" s="431"/>
      <c r="T15" s="431"/>
      <c r="U15" s="431"/>
      <c r="V15" s="431"/>
      <c r="W15" s="431"/>
      <c r="X15" s="431"/>
      <c r="Y15" s="431"/>
      <c r="Z15" s="431"/>
      <c r="AA15" s="431"/>
      <c r="AB15" s="431"/>
      <c r="AC15" s="431"/>
      <c r="AD15" s="431"/>
      <c r="AE15" s="431"/>
      <c r="AF15" s="431"/>
      <c r="AG15" s="431"/>
      <c r="AH15" s="431"/>
      <c r="AI15" s="431"/>
      <c r="AJ15" s="432"/>
    </row>
    <row r="16" spans="1:36" ht="29.1" customHeight="1">
      <c r="A16" s="430"/>
      <c r="B16" s="431"/>
      <c r="C16" s="431"/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1"/>
      <c r="O16" s="431"/>
      <c r="P16" s="431"/>
      <c r="Q16" s="431"/>
      <c r="R16" s="431"/>
      <c r="S16" s="431"/>
      <c r="T16" s="431"/>
      <c r="U16" s="431"/>
      <c r="V16" s="431"/>
      <c r="W16" s="431"/>
      <c r="X16" s="431"/>
      <c r="Y16" s="431"/>
      <c r="Z16" s="431"/>
      <c r="AA16" s="431"/>
      <c r="AB16" s="431"/>
      <c r="AC16" s="431"/>
      <c r="AD16" s="431"/>
      <c r="AE16" s="431"/>
      <c r="AF16" s="431"/>
      <c r="AG16" s="431"/>
      <c r="AH16" s="431"/>
      <c r="AI16" s="431"/>
      <c r="AJ16" s="432"/>
    </row>
    <row r="17" spans="1:36" ht="29.1" customHeight="1">
      <c r="A17" s="430"/>
      <c r="B17" s="431"/>
      <c r="C17" s="431"/>
      <c r="D17" s="431"/>
      <c r="E17" s="431"/>
      <c r="F17" s="431"/>
      <c r="G17" s="431"/>
      <c r="H17" s="431"/>
      <c r="I17" s="431"/>
      <c r="J17" s="431"/>
      <c r="K17" s="431"/>
      <c r="L17" s="431"/>
      <c r="M17" s="431"/>
      <c r="N17" s="431"/>
      <c r="O17" s="431"/>
      <c r="P17" s="431"/>
      <c r="Q17" s="431"/>
      <c r="R17" s="431"/>
      <c r="S17" s="431"/>
      <c r="T17" s="431"/>
      <c r="U17" s="431"/>
      <c r="V17" s="431"/>
      <c r="W17" s="431"/>
      <c r="X17" s="431"/>
      <c r="Y17" s="431"/>
      <c r="Z17" s="431"/>
      <c r="AA17" s="431"/>
      <c r="AB17" s="431"/>
      <c r="AC17" s="431"/>
      <c r="AD17" s="431"/>
      <c r="AE17" s="431"/>
      <c r="AF17" s="431"/>
      <c r="AG17" s="431"/>
      <c r="AH17" s="431"/>
      <c r="AI17" s="431"/>
      <c r="AJ17" s="432"/>
    </row>
    <row r="18" spans="1:36" ht="29.1" customHeight="1">
      <c r="A18" s="430"/>
      <c r="B18" s="431"/>
      <c r="C18" s="431"/>
      <c r="D18" s="431"/>
      <c r="E18" s="431"/>
      <c r="F18" s="431"/>
      <c r="G18" s="431"/>
      <c r="H18" s="431"/>
      <c r="I18" s="431"/>
      <c r="J18" s="431"/>
      <c r="K18" s="431"/>
      <c r="L18" s="431"/>
      <c r="M18" s="431"/>
      <c r="N18" s="431"/>
      <c r="O18" s="431"/>
      <c r="P18" s="431"/>
      <c r="Q18" s="431"/>
      <c r="R18" s="431"/>
      <c r="S18" s="431"/>
      <c r="T18" s="431"/>
      <c r="U18" s="431"/>
      <c r="V18" s="431"/>
      <c r="W18" s="431"/>
      <c r="X18" s="431"/>
      <c r="Y18" s="431"/>
      <c r="Z18" s="431"/>
      <c r="AA18" s="431"/>
      <c r="AB18" s="431"/>
      <c r="AC18" s="431"/>
      <c r="AD18" s="431"/>
      <c r="AE18" s="431"/>
      <c r="AF18" s="431"/>
      <c r="AG18" s="431"/>
      <c r="AH18" s="431"/>
      <c r="AI18" s="431"/>
      <c r="AJ18" s="432"/>
    </row>
    <row r="19" spans="1:36" ht="29.1" customHeight="1">
      <c r="A19" s="430"/>
      <c r="B19" s="431"/>
      <c r="C19" s="431"/>
      <c r="D19" s="431"/>
      <c r="E19" s="431"/>
      <c r="F19" s="431"/>
      <c r="G19" s="431"/>
      <c r="H19" s="431"/>
      <c r="I19" s="431"/>
      <c r="J19" s="431"/>
      <c r="K19" s="431"/>
      <c r="L19" s="431"/>
      <c r="M19" s="431"/>
      <c r="N19" s="431"/>
      <c r="O19" s="431"/>
      <c r="P19" s="431"/>
      <c r="Q19" s="431"/>
      <c r="R19" s="431"/>
      <c r="S19" s="431"/>
      <c r="T19" s="431"/>
      <c r="U19" s="431"/>
      <c r="V19" s="431"/>
      <c r="W19" s="431"/>
      <c r="X19" s="431"/>
      <c r="Y19" s="431"/>
      <c r="Z19" s="431"/>
      <c r="AA19" s="431"/>
      <c r="AB19" s="431"/>
      <c r="AC19" s="431"/>
      <c r="AD19" s="431"/>
      <c r="AE19" s="431"/>
      <c r="AF19" s="431"/>
      <c r="AG19" s="431"/>
      <c r="AH19" s="431"/>
      <c r="AI19" s="431"/>
      <c r="AJ19" s="432"/>
    </row>
    <row r="20" spans="1:36" ht="29.1" customHeight="1" thickBot="1">
      <c r="A20" s="433"/>
      <c r="B20" s="434"/>
      <c r="C20" s="434"/>
      <c r="D20" s="434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4"/>
      <c r="S20" s="434"/>
      <c r="T20" s="434"/>
      <c r="U20" s="434"/>
      <c r="V20" s="434"/>
      <c r="W20" s="434"/>
      <c r="X20" s="434"/>
      <c r="Y20" s="434"/>
      <c r="Z20" s="434"/>
      <c r="AA20" s="434"/>
      <c r="AB20" s="434"/>
      <c r="AC20" s="434"/>
      <c r="AD20" s="434"/>
      <c r="AE20" s="434"/>
      <c r="AF20" s="434"/>
      <c r="AG20" s="434"/>
      <c r="AH20" s="434"/>
      <c r="AI20" s="434"/>
      <c r="AJ20" s="435"/>
    </row>
    <row r="21" spans="1:37" ht="30" customHeight="1">
      <c r="A21" s="436"/>
      <c r="B21" s="437"/>
      <c r="C21" s="437"/>
      <c r="D21" s="438"/>
      <c r="E21" s="438"/>
      <c r="F21" s="438"/>
      <c r="G21" s="438"/>
      <c r="H21" s="438"/>
      <c r="I21" s="438"/>
      <c r="J21" s="438"/>
      <c r="K21" s="438"/>
      <c r="L21" s="438"/>
      <c r="M21" s="438"/>
      <c r="N21" s="438"/>
      <c r="O21" s="438"/>
      <c r="P21" s="438"/>
      <c r="Q21" s="438"/>
      <c r="R21" s="438"/>
      <c r="S21" s="438"/>
      <c r="T21" s="438"/>
      <c r="U21" s="438"/>
      <c r="V21" s="438"/>
      <c r="W21" s="438"/>
      <c r="X21" s="438"/>
      <c r="Y21" s="438"/>
      <c r="Z21" s="438"/>
      <c r="AA21" s="438"/>
      <c r="AB21" s="438"/>
      <c r="AC21" s="438"/>
      <c r="AD21" s="438"/>
      <c r="AE21" s="438"/>
      <c r="AF21" s="438"/>
      <c r="AG21" s="438"/>
      <c r="AH21" s="438"/>
      <c r="AI21" s="438"/>
      <c r="AJ21" s="439"/>
      <c r="AK21" s="55"/>
    </row>
    <row r="22" spans="1:36" ht="24.95" customHeight="1">
      <c r="A22" s="80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2"/>
    </row>
    <row r="23" spans="1:36" ht="24.95" customHeight="1">
      <c r="A23" s="80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2"/>
    </row>
    <row r="24" spans="1:36" ht="24.95" customHeight="1">
      <c r="A24" s="426"/>
      <c r="B24" s="417"/>
      <c r="C24" s="417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417"/>
      <c r="S24" s="417"/>
      <c r="T24" s="417"/>
      <c r="U24" s="417"/>
      <c r="V24" s="417"/>
      <c r="W24" s="417"/>
      <c r="X24" s="417"/>
      <c r="Y24" s="417"/>
      <c r="Z24" s="417"/>
      <c r="AA24" s="417"/>
      <c r="AB24" s="417"/>
      <c r="AC24" s="417"/>
      <c r="AD24" s="417"/>
      <c r="AE24" s="423"/>
      <c r="AF24" s="424"/>
      <c r="AG24" s="424"/>
      <c r="AH24" s="424"/>
      <c r="AI24" s="424"/>
      <c r="AJ24" s="425"/>
    </row>
    <row r="25" spans="1:36" ht="24.95" customHeight="1">
      <c r="A25" s="426"/>
      <c r="B25" s="417"/>
      <c r="C25" s="417"/>
      <c r="D25" s="417"/>
      <c r="E25" s="417"/>
      <c r="F25" s="417"/>
      <c r="G25" s="417"/>
      <c r="H25" s="417"/>
      <c r="I25" s="417"/>
      <c r="J25" s="417"/>
      <c r="K25" s="417"/>
      <c r="L25" s="417"/>
      <c r="M25" s="417"/>
      <c r="N25" s="417"/>
      <c r="O25" s="417"/>
      <c r="P25" s="417"/>
      <c r="Q25" s="417"/>
      <c r="R25" s="417"/>
      <c r="S25" s="417"/>
      <c r="T25" s="417"/>
      <c r="U25" s="417"/>
      <c r="V25" s="417"/>
      <c r="W25" s="417"/>
      <c r="X25" s="417"/>
      <c r="Y25" s="417"/>
      <c r="Z25" s="417"/>
      <c r="AA25" s="417"/>
      <c r="AB25" s="417"/>
      <c r="AC25" s="417"/>
      <c r="AD25" s="417"/>
      <c r="AE25" s="423"/>
      <c r="AF25" s="424"/>
      <c r="AG25" s="424"/>
      <c r="AH25" s="424"/>
      <c r="AI25" s="424"/>
      <c r="AJ25" s="425"/>
    </row>
    <row r="26" spans="1:36" ht="24.95" customHeight="1" thickBot="1">
      <c r="A26" s="416">
        <f ca="1">W3</f>
        <v>0</v>
      </c>
      <c r="B26" s="417"/>
      <c r="C26" s="417"/>
      <c r="D26" s="417" t="s">
        <v>144</v>
      </c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 t="s">
        <v>145</v>
      </c>
      <c r="Q26" s="417"/>
      <c r="R26" s="417"/>
      <c r="S26" s="417"/>
      <c r="T26" s="417"/>
      <c r="U26" s="417" t="s">
        <v>146</v>
      </c>
      <c r="V26" s="417"/>
      <c r="W26" s="417"/>
      <c r="X26" s="417"/>
      <c r="Y26" s="417"/>
      <c r="Z26" s="417" t="s">
        <v>147</v>
      </c>
      <c r="AA26" s="417"/>
      <c r="AB26" s="417"/>
      <c r="AC26" s="417"/>
      <c r="AD26" s="417"/>
      <c r="AE26" s="418">
        <f ca="1">N3</f>
        <v>43869</v>
      </c>
      <c r="AF26" s="419"/>
      <c r="AG26" s="419"/>
      <c r="AH26" s="419"/>
      <c r="AI26" s="419"/>
      <c r="AJ26" s="420"/>
    </row>
    <row r="27" spans="1:36" ht="24.95" customHeight="1" thickBot="1">
      <c r="A27" s="421" t="s">
        <v>148</v>
      </c>
      <c r="B27" s="422"/>
      <c r="C27" s="422"/>
      <c r="D27" s="422" t="s">
        <v>149</v>
      </c>
      <c r="E27" s="422"/>
      <c r="F27" s="422"/>
      <c r="G27" s="422"/>
      <c r="H27" s="422"/>
      <c r="I27" s="422"/>
      <c r="J27" s="422"/>
      <c r="K27" s="422"/>
      <c r="L27" s="422"/>
      <c r="M27" s="422"/>
      <c r="N27" s="422"/>
      <c r="O27" s="422"/>
      <c r="P27" s="422" t="s">
        <v>150</v>
      </c>
      <c r="Q27" s="422"/>
      <c r="R27" s="422"/>
      <c r="S27" s="422"/>
      <c r="T27" s="422"/>
      <c r="U27" s="422" t="s">
        <v>151</v>
      </c>
      <c r="V27" s="422"/>
      <c r="W27" s="422"/>
      <c r="X27" s="422"/>
      <c r="Y27" s="422"/>
      <c r="Z27" s="422" t="s">
        <v>152</v>
      </c>
      <c r="AA27" s="422"/>
      <c r="AB27" s="422"/>
      <c r="AC27" s="422"/>
      <c r="AD27" s="422"/>
      <c r="AE27" s="414" t="s">
        <v>140</v>
      </c>
      <c r="AF27" s="414"/>
      <c r="AG27" s="414"/>
      <c r="AH27" s="414"/>
      <c r="AI27" s="414"/>
      <c r="AJ27" s="415"/>
    </row>
  </sheetData>
  <mergeCells count="53">
    <mergeCell ref="A1:I2"/>
    <mergeCell ref="J1:AA1"/>
    <mergeCell ref="AB1:AJ2"/>
    <mergeCell ref="J2:AA2"/>
    <mergeCell ref="A3:I3"/>
    <mergeCell ref="J3:M3"/>
    <mergeCell ref="N3:R3"/>
    <mergeCell ref="S3:V3"/>
    <mergeCell ref="W3:AA3"/>
    <mergeCell ref="AB3:AJ3"/>
    <mergeCell ref="A4:AJ20"/>
    <mergeCell ref="A21:C21"/>
    <mergeCell ref="D21:O21"/>
    <mergeCell ref="P21:T21"/>
    <mergeCell ref="U21:Y21"/>
    <mergeCell ref="Z21:AD21"/>
    <mergeCell ref="AE21:AJ21"/>
    <mergeCell ref="AE23:AJ23"/>
    <mergeCell ref="A22:C22"/>
    <mergeCell ref="D22:O22"/>
    <mergeCell ref="P22:T22"/>
    <mergeCell ref="U22:Y22"/>
    <mergeCell ref="Z22:AD22"/>
    <mergeCell ref="AE22:AJ22"/>
    <mergeCell ref="A23:C23"/>
    <mergeCell ref="D23:O23"/>
    <mergeCell ref="P23:T23"/>
    <mergeCell ref="U23:Y23"/>
    <mergeCell ref="Z23:AD23"/>
    <mergeCell ref="AE25:AJ25"/>
    <mergeCell ref="A24:C24"/>
    <mergeCell ref="D24:O24"/>
    <mergeCell ref="P24:T24"/>
    <mergeCell ref="U24:Y24"/>
    <mergeCell ref="Z24:AD24"/>
    <mergeCell ref="AE24:AJ24"/>
    <mergeCell ref="A25:C25"/>
    <mergeCell ref="D25:O25"/>
    <mergeCell ref="P25:T25"/>
    <mergeCell ref="U25:Y25"/>
    <mergeCell ref="Z25:AD25"/>
    <mergeCell ref="AE27:AJ27"/>
    <mergeCell ref="A26:C26"/>
    <mergeCell ref="D26:O26"/>
    <mergeCell ref="P26:T26"/>
    <mergeCell ref="U26:Y26"/>
    <mergeCell ref="Z26:AD26"/>
    <mergeCell ref="AE26:AJ26"/>
    <mergeCell ref="A27:C27"/>
    <mergeCell ref="D27:O27"/>
    <mergeCell ref="P27:T27"/>
    <mergeCell ref="U27:Y27"/>
    <mergeCell ref="Z27:AD27"/>
  </mergeCells>
  <printOptions horizontalCentered="1"/>
  <pageMargins left="0.31496062992125984" right="0.31496062992125984" top="0.39370078740157483" bottom="0.39370078740157483" header="0.31496062992125984" footer="0.31496062992125984"/>
  <pageSetup paperSize="9" scale="99" fitToHeight="0" orientation="portrait" horizontalDpi="1200" verticalDpi="1200"/>
  <headerFooter scaleWithDoc="1" alignWithMargins="0" differentFirst="0" differentOddEven="0"/>
  <drawing r:id="rId2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7030A0"/>
    <pageSetUpPr fitToPage="1"/>
  </sheetPr>
  <dimension ref="A1:BM109"/>
  <sheetViews>
    <sheetView view="pageBreakPreview" workbookViewId="0">
      <selection pane="topLeft" activeCell="AC23" sqref="AC23:AJ23"/>
    </sheetView>
  </sheetViews>
  <sheetFormatPr defaultColWidth="9.140625" defaultRowHeight="15"/>
  <cols>
    <col min="1" max="1" width="3.27734375" style="56" customWidth="1"/>
    <col min="2" max="10" width="2.84765625" style="56" customWidth="1"/>
    <col min="11" max="11" width="3.41796875" style="56" customWidth="1"/>
    <col min="12" max="17" width="2.7109375" style="56" customWidth="1"/>
    <col min="18" max="18" width="3.84765625" style="56" customWidth="1"/>
    <col min="19" max="29" width="2.7109375" style="56" customWidth="1"/>
    <col min="30" max="30" width="5.27734375" style="56" customWidth="1"/>
    <col min="31" max="35" width="2.7109375" style="56" customWidth="1"/>
    <col min="36" max="36" width="4.5703125" style="56" customWidth="1"/>
    <col min="37" max="65" width="3.7109375" style="56" customWidth="1"/>
    <col min="66" max="16384" width="9.140625" style="56" customWidth="1"/>
  </cols>
  <sheetData>
    <row r="1" spans="1:36" ht="48" customHeight="1">
      <c r="A1" s="83"/>
      <c r="B1" s="84"/>
      <c r="C1" s="84"/>
      <c r="D1" s="84"/>
      <c r="E1" s="84"/>
      <c r="F1" s="84"/>
      <c r="G1" s="84"/>
      <c r="H1" s="84"/>
      <c r="I1" s="84"/>
      <c r="J1" s="610" t="str">
        <f ca="1">Cover!J1</f>
        <v>SALMAN PLATFORM</v>
      </c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443"/>
      <c r="AC1" s="444"/>
      <c r="AD1" s="444"/>
      <c r="AE1" s="444"/>
      <c r="AF1" s="444"/>
      <c r="AG1" s="444"/>
      <c r="AH1" s="444"/>
      <c r="AI1" s="444"/>
      <c r="AJ1" s="445"/>
    </row>
    <row r="2" spans="1:36" ht="24.95" customHeight="1">
      <c r="A2" s="80"/>
      <c r="B2" s="81"/>
      <c r="C2" s="81"/>
      <c r="D2" s="81"/>
      <c r="E2" s="81"/>
      <c r="F2" s="81"/>
      <c r="G2" s="81"/>
      <c r="H2" s="81"/>
      <c r="I2" s="81"/>
      <c r="J2" s="448" t="s">
        <v>138</v>
      </c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6"/>
      <c r="AC2" s="446"/>
      <c r="AD2" s="446"/>
      <c r="AE2" s="446"/>
      <c r="AF2" s="446"/>
      <c r="AG2" s="446"/>
      <c r="AH2" s="446"/>
      <c r="AI2" s="446"/>
      <c r="AJ2" s="447"/>
    </row>
    <row r="3" spans="1:36" ht="20.1" customHeight="1" thickBot="1">
      <c r="A3" s="611"/>
      <c r="B3" s="612"/>
      <c r="C3" s="612"/>
      <c r="D3" s="612"/>
      <c r="E3" s="612"/>
      <c r="F3" s="612"/>
      <c r="G3" s="612"/>
      <c r="H3" s="612"/>
      <c r="I3" s="613"/>
      <c r="J3" s="614" t="s">
        <v>140</v>
      </c>
      <c r="K3" s="612"/>
      <c r="L3" s="612"/>
      <c r="M3" s="615">
        <f ca="1">Cover!N3</f>
        <v>43869</v>
      </c>
      <c r="N3" s="615"/>
      <c r="O3" s="615"/>
      <c r="P3" s="615"/>
      <c r="Q3" s="615"/>
      <c r="R3" s="616"/>
      <c r="S3" s="614" t="s">
        <v>141</v>
      </c>
      <c r="T3" s="612"/>
      <c r="U3" s="612"/>
      <c r="V3" s="612"/>
      <c r="W3" s="617">
        <f ca="1">Cover!W3</f>
        <v>0</v>
      </c>
      <c r="X3" s="417"/>
      <c r="Y3" s="417"/>
      <c r="Z3" s="417"/>
      <c r="AA3" s="417"/>
      <c r="AB3" s="417" t="s">
        <v>444</v>
      </c>
      <c r="AC3" s="417"/>
      <c r="AD3" s="417"/>
      <c r="AE3" s="417"/>
      <c r="AF3" s="417"/>
      <c r="AG3" s="417"/>
      <c r="AH3" s="417"/>
      <c r="AI3" s="417"/>
      <c r="AJ3" s="618"/>
    </row>
    <row r="4" spans="1:36" ht="19.7" customHeight="1" thickBot="1">
      <c r="A4" s="421" t="s">
        <v>153</v>
      </c>
      <c r="B4" s="422"/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  <c r="V4" s="422"/>
      <c r="W4" s="422"/>
      <c r="X4" s="422"/>
      <c r="Y4" s="422"/>
      <c r="Z4" s="422"/>
      <c r="AA4" s="422"/>
      <c r="AB4" s="422"/>
      <c r="AC4" s="422"/>
      <c r="AD4" s="422"/>
      <c r="AE4" s="422"/>
      <c r="AF4" s="422"/>
      <c r="AG4" s="422"/>
      <c r="AH4" s="422"/>
      <c r="AI4" s="422"/>
      <c r="AJ4" s="473"/>
    </row>
    <row r="5" spans="1:36" ht="19.7" customHeight="1">
      <c r="A5" s="57">
        <v>1</v>
      </c>
      <c r="B5" s="512" t="s">
        <v>154</v>
      </c>
      <c r="C5" s="512"/>
      <c r="D5" s="512"/>
      <c r="E5" s="512"/>
      <c r="F5" s="512"/>
      <c r="G5" s="512"/>
      <c r="H5" s="512"/>
      <c r="I5" s="512"/>
      <c r="J5" s="512"/>
      <c r="K5" s="512"/>
      <c r="L5" s="591">
        <v>2</v>
      </c>
      <c r="M5" s="591"/>
      <c r="N5" s="591"/>
      <c r="O5" s="591"/>
      <c r="P5" s="591"/>
      <c r="Q5" s="591"/>
      <c r="R5" s="607"/>
      <c r="S5" s="608" t="s">
        <v>155</v>
      </c>
      <c r="T5" s="593"/>
      <c r="U5" s="593"/>
      <c r="V5" s="593"/>
      <c r="W5" s="593"/>
      <c r="X5" s="593"/>
      <c r="Y5" s="58" t="s">
        <v>156</v>
      </c>
      <c r="Z5" s="512" t="s">
        <v>157</v>
      </c>
      <c r="AA5" s="512"/>
      <c r="AB5" s="512"/>
      <c r="AC5" s="512"/>
      <c r="AD5" s="58" t="s">
        <v>158</v>
      </c>
      <c r="AE5" s="512" t="s">
        <v>159</v>
      </c>
      <c r="AF5" s="512"/>
      <c r="AG5" s="512"/>
      <c r="AH5" s="512"/>
      <c r="AI5" s="512"/>
      <c r="AJ5" s="609"/>
    </row>
    <row r="6" spans="1:36" ht="19.7" customHeight="1">
      <c r="A6" s="59">
        <v>2</v>
      </c>
      <c r="B6" s="456" t="s">
        <v>160</v>
      </c>
      <c r="C6" s="456"/>
      <c r="D6" s="456"/>
      <c r="E6" s="456"/>
      <c r="F6" s="456"/>
      <c r="G6" s="456"/>
      <c r="H6" s="456"/>
      <c r="I6" s="456"/>
      <c r="J6" s="456"/>
      <c r="K6" s="456"/>
      <c r="L6" s="569" t="s">
        <v>161</v>
      </c>
      <c r="M6" s="569"/>
      <c r="N6" s="569"/>
      <c r="O6" s="569"/>
      <c r="P6" s="569"/>
      <c r="Q6" s="569"/>
      <c r="R6" s="601"/>
      <c r="S6" s="602" t="s">
        <v>162</v>
      </c>
      <c r="T6" s="550"/>
      <c r="U6" s="550"/>
      <c r="V6" s="550"/>
      <c r="W6" s="550"/>
      <c r="X6" s="550"/>
      <c r="Y6" s="60" t="s">
        <v>156</v>
      </c>
      <c r="Z6" s="456" t="s">
        <v>163</v>
      </c>
      <c r="AA6" s="456"/>
      <c r="AB6" s="456"/>
      <c r="AC6" s="456"/>
      <c r="AD6" s="60" t="s">
        <v>158</v>
      </c>
      <c r="AE6" s="456" t="s">
        <v>164</v>
      </c>
      <c r="AF6" s="456"/>
      <c r="AG6" s="456"/>
      <c r="AH6" s="456"/>
      <c r="AI6" s="456"/>
      <c r="AJ6" s="603"/>
    </row>
    <row r="7" spans="1:42" ht="19.7" customHeight="1">
      <c r="A7" s="59">
        <v>3</v>
      </c>
      <c r="B7" s="456" t="s">
        <v>165</v>
      </c>
      <c r="C7" s="456"/>
      <c r="D7" s="456"/>
      <c r="E7" s="456"/>
      <c r="F7" s="456"/>
      <c r="G7" s="456"/>
      <c r="H7" s="456"/>
      <c r="I7" s="456"/>
      <c r="J7" s="456"/>
      <c r="K7" s="456"/>
      <c r="L7" s="552" t="str">
        <f ca="1">'Calculation for sizing HDT '!G53</f>
        <v>HDT-800</v>
      </c>
      <c r="M7" s="552"/>
      <c r="N7" s="552"/>
      <c r="O7" s="552"/>
      <c r="P7" s="552"/>
      <c r="Q7" s="552"/>
      <c r="R7" s="604"/>
      <c r="S7" s="605" t="s">
        <v>166</v>
      </c>
      <c r="T7" s="461"/>
      <c r="U7" s="461"/>
      <c r="V7" s="461"/>
      <c r="W7" s="461"/>
      <c r="X7" s="461"/>
      <c r="Y7" s="60" t="s">
        <v>158</v>
      </c>
      <c r="Z7" s="456" t="s">
        <v>167</v>
      </c>
      <c r="AA7" s="456"/>
      <c r="AB7" s="456"/>
      <c r="AC7" s="456"/>
      <c r="AD7" s="60" t="s">
        <v>156</v>
      </c>
      <c r="AE7" s="456" t="s">
        <v>168</v>
      </c>
      <c r="AF7" s="456"/>
      <c r="AG7" s="456"/>
      <c r="AH7" s="456"/>
      <c r="AI7" s="456"/>
      <c r="AJ7" s="603"/>
      <c r="AM7" s="12"/>
      <c r="AN7" s="12"/>
      <c r="AO7" s="12"/>
      <c r="AP7" s="12"/>
    </row>
    <row r="8" spans="1:36" ht="19.7" customHeight="1" thickBot="1">
      <c r="A8" s="61">
        <v>4</v>
      </c>
      <c r="B8" s="477" t="s">
        <v>169</v>
      </c>
      <c r="C8" s="477"/>
      <c r="D8" s="477"/>
      <c r="E8" s="477"/>
      <c r="F8" s="477"/>
      <c r="G8" s="477"/>
      <c r="H8" s="477"/>
      <c r="I8" s="477"/>
      <c r="J8" s="477"/>
      <c r="K8" s="477"/>
      <c r="L8" s="619" t="str">
        <f ca="1">IF('Calculation for sizing HDT '!D10='Calculation for sizing HDT '!G8,'Calculation for sizing HDT '!H8,IF('Calculation for sizing HDT '!D10='Calculation for sizing HDT '!G9,'Calculation for sizing HDT '!H9,IF('Calculation for sizing HDT '!D10='Calculation for sizing HDT '!G10,'Calculation for sizing HDT '!H10)))</f>
        <v>10 min.</v>
      </c>
      <c r="M8" s="620"/>
      <c r="N8" s="620"/>
      <c r="O8" s="620"/>
      <c r="P8" s="620"/>
      <c r="Q8" s="620"/>
      <c r="R8" s="621"/>
      <c r="S8" s="622" t="s">
        <v>170</v>
      </c>
      <c r="T8" s="623"/>
      <c r="U8" s="623"/>
      <c r="V8" s="623"/>
      <c r="W8" s="623"/>
      <c r="X8" s="623"/>
      <c r="Y8" s="60" t="s">
        <v>156</v>
      </c>
      <c r="Z8" s="477" t="s">
        <v>171</v>
      </c>
      <c r="AA8" s="477"/>
      <c r="AB8" s="477"/>
      <c r="AC8" s="477"/>
      <c r="AD8" s="60" t="s">
        <v>158</v>
      </c>
      <c r="AE8" s="456" t="s">
        <v>172</v>
      </c>
      <c r="AF8" s="456"/>
      <c r="AG8" s="456"/>
      <c r="AH8" s="456"/>
      <c r="AI8" s="456"/>
      <c r="AJ8" s="603"/>
    </row>
    <row r="9" spans="1:36" ht="19.7" customHeight="1" thickBot="1">
      <c r="A9" s="421" t="s">
        <v>173</v>
      </c>
      <c r="B9" s="422"/>
      <c r="C9" s="422"/>
      <c r="D9" s="422"/>
      <c r="E9" s="422"/>
      <c r="F9" s="422"/>
      <c r="G9" s="422"/>
      <c r="H9" s="422"/>
      <c r="I9" s="422"/>
      <c r="J9" s="422"/>
      <c r="K9" s="422"/>
      <c r="L9" s="422"/>
      <c r="M9" s="422"/>
      <c r="N9" s="422"/>
      <c r="O9" s="422"/>
      <c r="P9" s="422"/>
      <c r="Q9" s="422"/>
      <c r="R9" s="473"/>
      <c r="S9" s="421" t="s">
        <v>174</v>
      </c>
      <c r="T9" s="422"/>
      <c r="U9" s="422"/>
      <c r="V9" s="422"/>
      <c r="W9" s="422"/>
      <c r="X9" s="422"/>
      <c r="Y9" s="422"/>
      <c r="Z9" s="422"/>
      <c r="AA9" s="422"/>
      <c r="AB9" s="422"/>
      <c r="AC9" s="422"/>
      <c r="AD9" s="422"/>
      <c r="AE9" s="422"/>
      <c r="AF9" s="422"/>
      <c r="AG9" s="422"/>
      <c r="AH9" s="422"/>
      <c r="AI9" s="422"/>
      <c r="AJ9" s="473"/>
    </row>
    <row r="10" spans="1:36" ht="19.7" customHeight="1">
      <c r="A10" s="57">
        <v>5</v>
      </c>
      <c r="B10" s="512" t="s">
        <v>175</v>
      </c>
      <c r="C10" s="512"/>
      <c r="D10" s="512"/>
      <c r="E10" s="512"/>
      <c r="F10" s="512"/>
      <c r="G10" s="512"/>
      <c r="H10" s="512"/>
      <c r="I10" s="512"/>
      <c r="J10" s="512"/>
      <c r="K10" s="512"/>
      <c r="L10" s="591" t="s">
        <v>176</v>
      </c>
      <c r="M10" s="591"/>
      <c r="N10" s="591"/>
      <c r="O10" s="591"/>
      <c r="P10" s="591"/>
      <c r="Q10" s="591"/>
      <c r="R10" s="592"/>
      <c r="S10" s="576" t="s">
        <v>177</v>
      </c>
      <c r="T10" s="593"/>
      <c r="U10" s="593"/>
      <c r="V10" s="593"/>
      <c r="W10" s="593"/>
      <c r="X10" s="593"/>
      <c r="Y10" s="593"/>
      <c r="Z10" s="593"/>
      <c r="AA10" s="593"/>
      <c r="AB10" s="593"/>
      <c r="AC10" s="591" t="s">
        <v>178</v>
      </c>
      <c r="AD10" s="591"/>
      <c r="AE10" s="591"/>
      <c r="AF10" s="591"/>
      <c r="AG10" s="591"/>
      <c r="AH10" s="591"/>
      <c r="AI10" s="591"/>
      <c r="AJ10" s="592"/>
    </row>
    <row r="11" spans="1:36" ht="19.7" customHeight="1">
      <c r="A11" s="59">
        <v>6</v>
      </c>
      <c r="B11" s="456" t="s">
        <v>179</v>
      </c>
      <c r="C11" s="456"/>
      <c r="D11" s="456"/>
      <c r="E11" s="456"/>
      <c r="F11" s="456"/>
      <c r="G11" s="456"/>
      <c r="H11" s="456"/>
      <c r="I11" s="456"/>
      <c r="J11" s="456"/>
      <c r="K11" s="456"/>
      <c r="L11" s="598">
        <f ca="1">'Calculation for sizing HDT '!D8</f>
        <v>7000</v>
      </c>
      <c r="M11" s="599"/>
      <c r="N11" s="599"/>
      <c r="O11" s="600"/>
      <c r="P11" s="596" t="s">
        <v>279</v>
      </c>
      <c r="Q11" s="596"/>
      <c r="R11" s="597"/>
      <c r="S11" s="460" t="s">
        <v>180</v>
      </c>
      <c r="T11" s="461"/>
      <c r="U11" s="461"/>
      <c r="V11" s="461"/>
      <c r="W11" s="461"/>
      <c r="X11" s="461"/>
      <c r="Y11" s="461"/>
      <c r="Z11" s="461"/>
      <c r="AA11" s="461"/>
      <c r="AB11" s="461"/>
      <c r="AC11" s="594">
        <f ca="1">ROUNDDOWN($L$13+2,0)</f>
        <v>18</v>
      </c>
      <c r="AD11" s="594"/>
      <c r="AE11" s="594"/>
      <c r="AF11" s="594"/>
      <c r="AG11" s="594"/>
      <c r="AH11" s="594"/>
      <c r="AI11" s="594"/>
      <c r="AJ11" s="595"/>
    </row>
    <row r="12" spans="1:36" ht="19.7" customHeight="1">
      <c r="A12" s="57">
        <v>7</v>
      </c>
      <c r="B12" s="456" t="s">
        <v>181</v>
      </c>
      <c r="C12" s="456"/>
      <c r="D12" s="456"/>
      <c r="E12" s="456"/>
      <c r="F12" s="456"/>
      <c r="G12" s="456"/>
      <c r="H12" s="456"/>
      <c r="I12" s="456"/>
      <c r="J12" s="456"/>
      <c r="K12" s="456"/>
      <c r="L12" s="554">
        <f ca="1">'Calculation for sizing HDT '!D7</f>
        <v>20</v>
      </c>
      <c r="M12" s="554"/>
      <c r="N12" s="554"/>
      <c r="O12" s="554"/>
      <c r="P12" s="554"/>
      <c r="Q12" s="554"/>
      <c r="R12" s="583"/>
      <c r="S12" s="460" t="s">
        <v>182</v>
      </c>
      <c r="T12" s="461"/>
      <c r="U12" s="461"/>
      <c r="V12" s="461"/>
      <c r="W12" s="461"/>
      <c r="X12" s="461"/>
      <c r="Y12" s="461"/>
      <c r="Z12" s="461"/>
      <c r="AA12" s="461"/>
      <c r="AB12" s="461"/>
      <c r="AC12" s="584">
        <v>85</v>
      </c>
      <c r="AD12" s="584"/>
      <c r="AE12" s="584"/>
      <c r="AF12" s="584"/>
      <c r="AG12" s="584"/>
      <c r="AH12" s="584"/>
      <c r="AI12" s="584"/>
      <c r="AJ12" s="585"/>
    </row>
    <row r="13" spans="1:36" ht="19.7" customHeight="1">
      <c r="A13" s="59">
        <v>8</v>
      </c>
      <c r="B13" s="456" t="s">
        <v>183</v>
      </c>
      <c r="C13" s="456"/>
      <c r="D13" s="456"/>
      <c r="E13" s="456"/>
      <c r="F13" s="456"/>
      <c r="G13" s="456"/>
      <c r="H13" s="456"/>
      <c r="I13" s="456"/>
      <c r="J13" s="456"/>
      <c r="K13" s="456"/>
      <c r="L13" s="554">
        <f ca="1">'Calculation for sizing HDT '!D6</f>
        <v>16</v>
      </c>
      <c r="M13" s="554"/>
      <c r="N13" s="554"/>
      <c r="O13" s="554"/>
      <c r="P13" s="554"/>
      <c r="Q13" s="554"/>
      <c r="R13" s="583"/>
      <c r="S13" s="460" t="s">
        <v>184</v>
      </c>
      <c r="T13" s="461"/>
      <c r="U13" s="461"/>
      <c r="V13" s="461"/>
      <c r="W13" s="461"/>
      <c r="X13" s="461"/>
      <c r="Y13" s="461"/>
      <c r="Z13" s="461"/>
      <c r="AA13" s="461"/>
      <c r="AB13" s="461"/>
      <c r="AC13" s="584">
        <f ca="1">1.3*AC11</f>
        <v>23.400000000000002</v>
      </c>
      <c r="AD13" s="584"/>
      <c r="AE13" s="584"/>
      <c r="AF13" s="584"/>
      <c r="AG13" s="584"/>
      <c r="AH13" s="584"/>
      <c r="AI13" s="584"/>
      <c r="AJ13" s="585"/>
    </row>
    <row r="14" spans="1:36" ht="19.7" customHeight="1">
      <c r="A14" s="57">
        <v>9</v>
      </c>
      <c r="B14" s="456" t="s">
        <v>185</v>
      </c>
      <c r="C14" s="456"/>
      <c r="D14" s="456"/>
      <c r="E14" s="456"/>
      <c r="F14" s="456"/>
      <c r="G14" s="456"/>
      <c r="H14" s="456"/>
      <c r="I14" s="456"/>
      <c r="J14" s="456"/>
      <c r="K14" s="456"/>
      <c r="L14" s="569" t="s">
        <v>186</v>
      </c>
      <c r="M14" s="569"/>
      <c r="N14" s="569"/>
      <c r="O14" s="569"/>
      <c r="P14" s="569"/>
      <c r="Q14" s="569"/>
      <c r="R14" s="570"/>
      <c r="S14" s="460" t="s">
        <v>187</v>
      </c>
      <c r="T14" s="461"/>
      <c r="U14" s="461"/>
      <c r="V14" s="461"/>
      <c r="W14" s="461"/>
      <c r="X14" s="461"/>
      <c r="Y14" s="461"/>
      <c r="Z14" s="461"/>
      <c r="AA14" s="461"/>
      <c r="AB14" s="461"/>
      <c r="AC14" s="552">
        <f ca="1">'Calculation for sizing HDT '!D9</f>
        <v>1.5</v>
      </c>
      <c r="AD14" s="552"/>
      <c r="AE14" s="552"/>
      <c r="AF14" s="552"/>
      <c r="AG14" s="552"/>
      <c r="AH14" s="552"/>
      <c r="AI14" s="552"/>
      <c r="AJ14" s="582"/>
    </row>
    <row r="15" spans="1:36" ht="19.7" customHeight="1">
      <c r="A15" s="59">
        <v>10</v>
      </c>
      <c r="B15" s="456" t="s">
        <v>188</v>
      </c>
      <c r="C15" s="456"/>
      <c r="D15" s="456"/>
      <c r="E15" s="456"/>
      <c r="F15" s="456"/>
      <c r="G15" s="456"/>
      <c r="H15" s="456"/>
      <c r="I15" s="456"/>
      <c r="J15" s="456"/>
      <c r="K15" s="456"/>
      <c r="L15" s="588">
        <f ca="1">'Calculation for sizing HDT '!D10</f>
        <v>-20</v>
      </c>
      <c r="M15" s="589"/>
      <c r="N15" s="589"/>
      <c r="O15" s="590"/>
      <c r="P15" s="586" t="s">
        <v>100</v>
      </c>
      <c r="Q15" s="586"/>
      <c r="R15" s="587"/>
      <c r="S15" s="549" t="s">
        <v>189</v>
      </c>
      <c r="T15" s="550"/>
      <c r="U15" s="550"/>
      <c r="V15" s="550"/>
      <c r="W15" s="550"/>
      <c r="X15" s="550"/>
      <c r="Y15" s="550"/>
      <c r="Z15" s="550"/>
      <c r="AA15" s="550"/>
      <c r="AB15" s="550"/>
      <c r="AC15" s="569" t="s">
        <v>190</v>
      </c>
      <c r="AD15" s="569"/>
      <c r="AE15" s="569"/>
      <c r="AF15" s="569"/>
      <c r="AG15" s="569"/>
      <c r="AH15" s="569"/>
      <c r="AI15" s="569"/>
      <c r="AJ15" s="570"/>
    </row>
    <row r="16" spans="1:36" ht="19.7" customHeight="1">
      <c r="A16" s="57">
        <v>11</v>
      </c>
      <c r="B16" s="456" t="s">
        <v>191</v>
      </c>
      <c r="C16" s="456"/>
      <c r="D16" s="456"/>
      <c r="E16" s="456"/>
      <c r="F16" s="456"/>
      <c r="G16" s="456"/>
      <c r="H16" s="456"/>
      <c r="I16" s="456"/>
      <c r="J16" s="456"/>
      <c r="K16" s="456"/>
      <c r="L16" s="569">
        <v>0.2</v>
      </c>
      <c r="M16" s="569"/>
      <c r="N16" s="569"/>
      <c r="O16" s="569"/>
      <c r="P16" s="569"/>
      <c r="Q16" s="569"/>
      <c r="R16" s="570"/>
      <c r="S16" s="460" t="s">
        <v>192</v>
      </c>
      <c r="T16" s="461"/>
      <c r="U16" s="461"/>
      <c r="V16" s="461"/>
      <c r="W16" s="461"/>
      <c r="X16" s="461"/>
      <c r="Y16" s="461"/>
      <c r="Z16" s="461"/>
      <c r="AA16" s="461"/>
      <c r="AB16" s="461"/>
      <c r="AC16" s="569" t="s">
        <v>193</v>
      </c>
      <c r="AD16" s="569"/>
      <c r="AE16" s="569"/>
      <c r="AF16" s="569"/>
      <c r="AG16" s="569"/>
      <c r="AH16" s="569"/>
      <c r="AI16" s="569"/>
      <c r="AJ16" s="570"/>
    </row>
    <row r="17" spans="1:36" ht="19.7" customHeight="1">
      <c r="A17" s="59">
        <v>12</v>
      </c>
      <c r="B17" s="456" t="s">
        <v>194</v>
      </c>
      <c r="C17" s="456"/>
      <c r="D17" s="456"/>
      <c r="E17" s="456"/>
      <c r="F17" s="456"/>
      <c r="G17" s="456"/>
      <c r="H17" s="456"/>
      <c r="I17" s="456"/>
      <c r="J17" s="456"/>
      <c r="K17" s="456"/>
      <c r="L17" s="569">
        <v>0.1</v>
      </c>
      <c r="M17" s="569"/>
      <c r="N17" s="569"/>
      <c r="O17" s="569"/>
      <c r="P17" s="569"/>
      <c r="Q17" s="569"/>
      <c r="R17" s="570"/>
      <c r="S17" s="460" t="s">
        <v>195</v>
      </c>
      <c r="T17" s="461"/>
      <c r="U17" s="461"/>
      <c r="V17" s="461"/>
      <c r="W17" s="461"/>
      <c r="X17" s="461"/>
      <c r="Y17" s="461"/>
      <c r="Z17" s="461"/>
      <c r="AA17" s="461"/>
      <c r="AB17" s="461"/>
      <c r="AC17" s="569" t="s">
        <v>196</v>
      </c>
      <c r="AD17" s="569"/>
      <c r="AE17" s="569"/>
      <c r="AF17" s="569"/>
      <c r="AG17" s="569"/>
      <c r="AH17" s="569"/>
      <c r="AI17" s="569"/>
      <c r="AJ17" s="570"/>
    </row>
    <row r="18" spans="1:36" ht="19.7" customHeight="1">
      <c r="A18" s="57">
        <v>13</v>
      </c>
      <c r="B18" s="456" t="s">
        <v>197</v>
      </c>
      <c r="C18" s="456"/>
      <c r="D18" s="456"/>
      <c r="E18" s="456"/>
      <c r="F18" s="456"/>
      <c r="G18" s="456"/>
      <c r="H18" s="456"/>
      <c r="I18" s="456"/>
      <c r="J18" s="456"/>
      <c r="K18" s="456"/>
      <c r="L18" s="553">
        <f ca="1">$L$11*0.85</f>
        <v>5950</v>
      </c>
      <c r="M18" s="553"/>
      <c r="N18" s="553"/>
      <c r="O18" s="553"/>
      <c r="P18" s="553"/>
      <c r="Q18" s="553"/>
      <c r="R18" s="577"/>
      <c r="S18" s="460" t="s">
        <v>198</v>
      </c>
      <c r="T18" s="461"/>
      <c r="U18" s="461"/>
      <c r="V18" s="461"/>
      <c r="W18" s="461"/>
      <c r="X18" s="461"/>
      <c r="Y18" s="461"/>
      <c r="Z18" s="461"/>
      <c r="AA18" s="461"/>
      <c r="AB18" s="461"/>
      <c r="AC18" s="569" t="s">
        <v>196</v>
      </c>
      <c r="AD18" s="569"/>
      <c r="AE18" s="569"/>
      <c r="AF18" s="569"/>
      <c r="AG18" s="569"/>
      <c r="AH18" s="569"/>
      <c r="AI18" s="569"/>
      <c r="AJ18" s="570"/>
    </row>
    <row r="19" spans="1:36" ht="19.7" customHeight="1" thickBot="1">
      <c r="A19" s="59">
        <v>14</v>
      </c>
      <c r="B19" s="525" t="s">
        <v>199</v>
      </c>
      <c r="C19" s="525"/>
      <c r="D19" s="525"/>
      <c r="E19" s="525"/>
      <c r="F19" s="525"/>
      <c r="G19" s="525"/>
      <c r="H19" s="525"/>
      <c r="I19" s="525"/>
      <c r="J19" s="525"/>
      <c r="K19" s="525"/>
      <c r="L19" s="578" t="s">
        <v>196</v>
      </c>
      <c r="M19" s="578"/>
      <c r="N19" s="578"/>
      <c r="O19" s="578"/>
      <c r="P19" s="578"/>
      <c r="Q19" s="578"/>
      <c r="R19" s="579"/>
      <c r="S19" s="580"/>
      <c r="T19" s="581"/>
      <c r="U19" s="581"/>
      <c r="V19" s="581"/>
      <c r="W19" s="581"/>
      <c r="X19" s="581"/>
      <c r="Y19" s="581"/>
      <c r="Z19" s="581"/>
      <c r="AA19" s="581"/>
      <c r="AB19" s="581"/>
      <c r="AC19" s="569"/>
      <c r="AD19" s="569"/>
      <c r="AE19" s="569"/>
      <c r="AF19" s="569"/>
      <c r="AG19" s="569"/>
      <c r="AH19" s="569"/>
      <c r="AI19" s="569"/>
      <c r="AJ19" s="570"/>
    </row>
    <row r="20" spans="1:36" ht="19.7" customHeight="1" thickBot="1">
      <c r="A20" s="421" t="s">
        <v>200</v>
      </c>
      <c r="B20" s="422"/>
      <c r="C20" s="422"/>
      <c r="D20" s="422"/>
      <c r="E20" s="422"/>
      <c r="F20" s="422"/>
      <c r="G20" s="422"/>
      <c r="H20" s="422"/>
      <c r="I20" s="422"/>
      <c r="J20" s="422"/>
      <c r="K20" s="422"/>
      <c r="L20" s="422"/>
      <c r="M20" s="422"/>
      <c r="N20" s="422"/>
      <c r="O20" s="422"/>
      <c r="P20" s="422"/>
      <c r="Q20" s="422"/>
      <c r="R20" s="473"/>
      <c r="S20" s="558" t="s">
        <v>1</v>
      </c>
      <c r="T20" s="422"/>
      <c r="U20" s="422"/>
      <c r="V20" s="422"/>
      <c r="W20" s="422"/>
      <c r="X20" s="422"/>
      <c r="Y20" s="422"/>
      <c r="Z20" s="422"/>
      <c r="AA20" s="422"/>
      <c r="AB20" s="422"/>
      <c r="AC20" s="422"/>
      <c r="AD20" s="422"/>
      <c r="AE20" s="422"/>
      <c r="AF20" s="422"/>
      <c r="AG20" s="422"/>
      <c r="AH20" s="422"/>
      <c r="AI20" s="422"/>
      <c r="AJ20" s="473"/>
    </row>
    <row r="21" spans="1:36" ht="19.7" customHeight="1">
      <c r="A21" s="57">
        <v>15</v>
      </c>
      <c r="B21" s="512" t="s">
        <v>201</v>
      </c>
      <c r="C21" s="512"/>
      <c r="D21" s="512"/>
      <c r="E21" s="512"/>
      <c r="F21" s="512"/>
      <c r="G21" s="512"/>
      <c r="H21" s="512"/>
      <c r="I21" s="512"/>
      <c r="J21" s="512"/>
      <c r="K21" s="512"/>
      <c r="L21" s="569">
        <v>2</v>
      </c>
      <c r="M21" s="569"/>
      <c r="N21" s="569"/>
      <c r="O21" s="569"/>
      <c r="P21" s="569"/>
      <c r="Q21" s="569"/>
      <c r="R21" s="570"/>
      <c r="S21" s="575" t="s">
        <v>202</v>
      </c>
      <c r="T21" s="575"/>
      <c r="U21" s="575"/>
      <c r="V21" s="575"/>
      <c r="W21" s="575"/>
      <c r="X21" s="575"/>
      <c r="Y21" s="575"/>
      <c r="Z21" s="575"/>
      <c r="AA21" s="575"/>
      <c r="AB21" s="576"/>
      <c r="AC21" s="573" t="str">
        <f ca="1">IF('Calculation for sizing HDT '!F93="-",'Calculation for sizing HDT '!G91,IF('Calculation for sizing HDT '!G93="-",'Calculation for sizing HDT '!F91))</f>
        <v>SA516 Gr.70</v>
      </c>
      <c r="AD21" s="573"/>
      <c r="AE21" s="573"/>
      <c r="AF21" s="573"/>
      <c r="AG21" s="573"/>
      <c r="AH21" s="573"/>
      <c r="AI21" s="573"/>
      <c r="AJ21" s="574"/>
    </row>
    <row r="22" spans="1:36" ht="19.7" customHeight="1">
      <c r="A22" s="59">
        <v>16</v>
      </c>
      <c r="B22" s="456" t="s">
        <v>203</v>
      </c>
      <c r="C22" s="456"/>
      <c r="D22" s="456"/>
      <c r="E22" s="456"/>
      <c r="F22" s="456"/>
      <c r="G22" s="456"/>
      <c r="H22" s="456"/>
      <c r="I22" s="456"/>
      <c r="J22" s="456"/>
      <c r="K22" s="456"/>
      <c r="L22" s="569" t="s">
        <v>204</v>
      </c>
      <c r="M22" s="569"/>
      <c r="N22" s="569"/>
      <c r="O22" s="569"/>
      <c r="P22" s="569"/>
      <c r="Q22" s="569"/>
      <c r="R22" s="570"/>
      <c r="S22" s="568" t="s">
        <v>205</v>
      </c>
      <c r="T22" s="568"/>
      <c r="U22" s="568"/>
      <c r="V22" s="568"/>
      <c r="W22" s="568"/>
      <c r="X22" s="568"/>
      <c r="Y22" s="568"/>
      <c r="Z22" s="568"/>
      <c r="AA22" s="568"/>
      <c r="AB22" s="460"/>
      <c r="AC22" s="573" t="str">
        <f ca="1">IF(AC21="SA516 Gr.70","SA516 Gr.70",IF(AC21="SA-106 Gr. B","SA-234 WPB"))</f>
        <v>SA516 Gr.70</v>
      </c>
      <c r="AD22" s="573"/>
      <c r="AE22" s="573"/>
      <c r="AF22" s="573"/>
      <c r="AG22" s="573"/>
      <c r="AH22" s="573"/>
      <c r="AI22" s="573"/>
      <c r="AJ22" s="574"/>
    </row>
    <row r="23" spans="1:36" ht="19.7" customHeight="1">
      <c r="A23" s="57">
        <v>17</v>
      </c>
      <c r="B23" s="456" t="s">
        <v>206</v>
      </c>
      <c r="C23" s="456"/>
      <c r="D23" s="456"/>
      <c r="E23" s="456"/>
      <c r="F23" s="456"/>
      <c r="G23" s="456"/>
      <c r="H23" s="456"/>
      <c r="I23" s="456"/>
      <c r="J23" s="456"/>
      <c r="K23" s="456"/>
      <c r="L23" s="569" t="s">
        <v>207</v>
      </c>
      <c r="M23" s="569"/>
      <c r="N23" s="569"/>
      <c r="O23" s="569"/>
      <c r="P23" s="569"/>
      <c r="Q23" s="569"/>
      <c r="R23" s="570"/>
      <c r="S23" s="568" t="s">
        <v>208</v>
      </c>
      <c r="T23" s="568"/>
      <c r="U23" s="568"/>
      <c r="V23" s="568"/>
      <c r="W23" s="568"/>
      <c r="X23" s="568"/>
      <c r="Y23" s="568"/>
      <c r="Z23" s="568"/>
      <c r="AA23" s="568"/>
      <c r="AB23" s="460"/>
      <c r="AC23" s="569" t="s">
        <v>209</v>
      </c>
      <c r="AD23" s="569"/>
      <c r="AE23" s="569"/>
      <c r="AF23" s="569"/>
      <c r="AG23" s="569"/>
      <c r="AH23" s="569"/>
      <c r="AI23" s="569"/>
      <c r="AJ23" s="570"/>
    </row>
    <row r="24" spans="1:36" ht="19.7" customHeight="1">
      <c r="A24" s="59">
        <v>18</v>
      </c>
      <c r="B24" s="456" t="s">
        <v>210</v>
      </c>
      <c r="C24" s="456"/>
      <c r="D24" s="456"/>
      <c r="E24" s="456"/>
      <c r="F24" s="456"/>
      <c r="G24" s="456"/>
      <c r="H24" s="456"/>
      <c r="I24" s="456"/>
      <c r="J24" s="456"/>
      <c r="K24" s="456"/>
      <c r="L24" s="569">
        <f ca="1">AC11</f>
        <v>18</v>
      </c>
      <c r="M24" s="569"/>
      <c r="N24" s="569"/>
      <c r="O24" s="569"/>
      <c r="P24" s="569"/>
      <c r="Q24" s="569"/>
      <c r="R24" s="570"/>
      <c r="S24" s="568" t="s">
        <v>211</v>
      </c>
      <c r="T24" s="568"/>
      <c r="U24" s="568"/>
      <c r="V24" s="568"/>
      <c r="W24" s="568"/>
      <c r="X24" s="568"/>
      <c r="Y24" s="568"/>
      <c r="Z24" s="568"/>
      <c r="AA24" s="568"/>
      <c r="AB24" s="460"/>
      <c r="AC24" s="569" t="s">
        <v>212</v>
      </c>
      <c r="AD24" s="569"/>
      <c r="AE24" s="569"/>
      <c r="AF24" s="569"/>
      <c r="AG24" s="569"/>
      <c r="AH24" s="569"/>
      <c r="AI24" s="569"/>
      <c r="AJ24" s="570"/>
    </row>
    <row r="25" spans="1:36" ht="19.7" customHeight="1">
      <c r="A25" s="57">
        <v>19</v>
      </c>
      <c r="B25" s="456" t="s">
        <v>160</v>
      </c>
      <c r="C25" s="456"/>
      <c r="D25" s="456"/>
      <c r="E25" s="456"/>
      <c r="F25" s="456"/>
      <c r="G25" s="456"/>
      <c r="H25" s="456"/>
      <c r="I25" s="456"/>
      <c r="J25" s="456"/>
      <c r="K25" s="456"/>
      <c r="L25" s="569" t="s">
        <v>161</v>
      </c>
      <c r="M25" s="569"/>
      <c r="N25" s="569"/>
      <c r="O25" s="569"/>
      <c r="P25" s="569"/>
      <c r="Q25" s="569"/>
      <c r="R25" s="570"/>
      <c r="S25" s="568" t="s">
        <v>213</v>
      </c>
      <c r="T25" s="568"/>
      <c r="U25" s="568"/>
      <c r="V25" s="568"/>
      <c r="W25" s="568"/>
      <c r="X25" s="568"/>
      <c r="Y25" s="568"/>
      <c r="Z25" s="568"/>
      <c r="AA25" s="568"/>
      <c r="AB25" s="460"/>
      <c r="AC25" s="569" t="s">
        <v>214</v>
      </c>
      <c r="AD25" s="569"/>
      <c r="AE25" s="569"/>
      <c r="AF25" s="569"/>
      <c r="AG25" s="569"/>
      <c r="AH25" s="569"/>
      <c r="AI25" s="569"/>
      <c r="AJ25" s="570"/>
    </row>
    <row r="26" spans="1:36" ht="21" customHeight="1">
      <c r="A26" s="59">
        <v>20</v>
      </c>
      <c r="B26" s="477" t="s">
        <v>215</v>
      </c>
      <c r="C26" s="477"/>
      <c r="D26" s="477"/>
      <c r="E26" s="477"/>
      <c r="F26" s="477"/>
      <c r="G26" s="477"/>
      <c r="H26" s="477"/>
      <c r="I26" s="477"/>
      <c r="J26" s="477"/>
      <c r="K26" s="477"/>
      <c r="L26" s="566" t="s">
        <v>216</v>
      </c>
      <c r="M26" s="566"/>
      <c r="N26" s="566"/>
      <c r="O26" s="566"/>
      <c r="P26" s="566"/>
      <c r="Q26" s="566"/>
      <c r="R26" s="567"/>
      <c r="S26" s="568" t="s">
        <v>217</v>
      </c>
      <c r="T26" s="568"/>
      <c r="U26" s="568"/>
      <c r="V26" s="568"/>
      <c r="W26" s="568"/>
      <c r="X26" s="568"/>
      <c r="Y26" s="568"/>
      <c r="Z26" s="568"/>
      <c r="AA26" s="568"/>
      <c r="AB26" s="460"/>
      <c r="AC26" s="569" t="s">
        <v>218</v>
      </c>
      <c r="AD26" s="569"/>
      <c r="AE26" s="569"/>
      <c r="AF26" s="569"/>
      <c r="AG26" s="569"/>
      <c r="AH26" s="569"/>
      <c r="AI26" s="569"/>
      <c r="AJ26" s="570"/>
    </row>
    <row r="27" spans="1:36" ht="21.75" customHeight="1" thickBot="1">
      <c r="A27" s="57">
        <v>21</v>
      </c>
      <c r="B27" s="477"/>
      <c r="C27" s="477"/>
      <c r="D27" s="477"/>
      <c r="E27" s="477"/>
      <c r="F27" s="477"/>
      <c r="G27" s="477"/>
      <c r="H27" s="477"/>
      <c r="I27" s="477"/>
      <c r="J27" s="477"/>
      <c r="K27" s="477"/>
      <c r="L27" s="566"/>
      <c r="M27" s="566"/>
      <c r="N27" s="566"/>
      <c r="O27" s="566"/>
      <c r="P27" s="566"/>
      <c r="Q27" s="566"/>
      <c r="R27" s="567"/>
      <c r="S27" s="571" t="s">
        <v>219</v>
      </c>
      <c r="T27" s="571"/>
      <c r="U27" s="571"/>
      <c r="V27" s="571"/>
      <c r="W27" s="571"/>
      <c r="X27" s="571"/>
      <c r="Y27" s="571"/>
      <c r="Z27" s="571"/>
      <c r="AA27" s="571"/>
      <c r="AB27" s="572"/>
      <c r="AC27" s="566" t="s">
        <v>220</v>
      </c>
      <c r="AD27" s="566"/>
      <c r="AE27" s="566"/>
      <c r="AF27" s="566"/>
      <c r="AG27" s="566"/>
      <c r="AH27" s="566"/>
      <c r="AI27" s="566"/>
      <c r="AJ27" s="567"/>
    </row>
    <row r="28" spans="1:36" ht="19.7" customHeight="1" thickBot="1">
      <c r="A28" s="421" t="s">
        <v>221</v>
      </c>
      <c r="B28" s="422"/>
      <c r="C28" s="422"/>
      <c r="D28" s="422"/>
      <c r="E28" s="422"/>
      <c r="F28" s="422"/>
      <c r="G28" s="422"/>
      <c r="H28" s="422"/>
      <c r="I28" s="422"/>
      <c r="J28" s="422"/>
      <c r="K28" s="422"/>
      <c r="L28" s="422"/>
      <c r="M28" s="422"/>
      <c r="N28" s="422"/>
      <c r="O28" s="422"/>
      <c r="P28" s="422"/>
      <c r="Q28" s="422"/>
      <c r="R28" s="473"/>
      <c r="S28" s="558" t="s">
        <v>222</v>
      </c>
      <c r="T28" s="422"/>
      <c r="U28" s="422"/>
      <c r="V28" s="422"/>
      <c r="W28" s="422"/>
      <c r="X28" s="422"/>
      <c r="Y28" s="422"/>
      <c r="Z28" s="422"/>
      <c r="AA28" s="422"/>
      <c r="AB28" s="422"/>
      <c r="AC28" s="422"/>
      <c r="AD28" s="422"/>
      <c r="AE28" s="422"/>
      <c r="AF28" s="422"/>
      <c r="AG28" s="422"/>
      <c r="AH28" s="422"/>
      <c r="AI28" s="422"/>
      <c r="AJ28" s="473"/>
    </row>
    <row r="29" spans="1:36" ht="30" customHeight="1">
      <c r="A29" s="57">
        <v>22</v>
      </c>
      <c r="B29" s="512" t="s">
        <v>223</v>
      </c>
      <c r="C29" s="512"/>
      <c r="D29" s="512"/>
      <c r="E29" s="512"/>
      <c r="F29" s="512"/>
      <c r="G29" s="512"/>
      <c r="H29" s="512"/>
      <c r="I29" s="512"/>
      <c r="J29" s="512"/>
      <c r="K29" s="512"/>
      <c r="L29" s="559">
        <f ca="1">IF(AC21="SA-106 Gr. B",'Calculation for sizing HDT '!F93,IF(AC21="SA516 Gr.70",'Calculation for sizing HDT '!G93))</f>
        <v>10</v>
      </c>
      <c r="M29" s="559"/>
      <c r="N29" s="559"/>
      <c r="O29" s="559"/>
      <c r="P29" s="559"/>
      <c r="Q29" s="559"/>
      <c r="R29" s="560"/>
      <c r="S29" s="561" t="s">
        <v>225</v>
      </c>
      <c r="T29" s="562"/>
      <c r="U29" s="562"/>
      <c r="V29" s="563"/>
      <c r="W29" s="564" t="s">
        <v>226</v>
      </c>
      <c r="X29" s="564"/>
      <c r="Y29" s="564" t="s">
        <v>22</v>
      </c>
      <c r="Z29" s="564"/>
      <c r="AA29" s="564"/>
      <c r="AB29" s="564"/>
      <c r="AC29" s="564"/>
      <c r="AD29" s="564"/>
      <c r="AE29" s="564" t="s">
        <v>0</v>
      </c>
      <c r="AF29" s="564"/>
      <c r="AG29" s="564"/>
      <c r="AH29" s="564"/>
      <c r="AI29" s="564" t="s">
        <v>23</v>
      </c>
      <c r="AJ29" s="565"/>
    </row>
    <row r="30" spans="1:41" ht="30" customHeight="1">
      <c r="A30" s="59">
        <v>23</v>
      </c>
      <c r="B30" s="555" t="str">
        <f ca="1">IF(AC22="SA516 Gr.70","Minimum Head Thickness After forming (mm)","Head Thickness (mm)")</f>
        <v>Minimum Head Thickness After forming (mm)</v>
      </c>
      <c r="C30" s="555"/>
      <c r="D30" s="555"/>
      <c r="E30" s="555"/>
      <c r="F30" s="555"/>
      <c r="G30" s="555"/>
      <c r="H30" s="555"/>
      <c r="I30" s="555"/>
      <c r="J30" s="555"/>
      <c r="K30" s="555"/>
      <c r="L30" s="556">
        <f ca="1">IF(AC21="SA516 Gr.70",'Vessel Weights'!$I$43,L29)</f>
        <v>7.3056192660550439</v>
      </c>
      <c r="M30" s="556"/>
      <c r="N30" s="556"/>
      <c r="O30" s="556"/>
      <c r="P30" s="556"/>
      <c r="Q30" s="556"/>
      <c r="R30" s="557"/>
      <c r="S30" s="549" t="s">
        <v>227</v>
      </c>
      <c r="T30" s="550"/>
      <c r="U30" s="550"/>
      <c r="V30" s="550"/>
      <c r="W30" s="551" t="str">
        <f ca="1">'Calculation for sizing HDT '!L93</f>
        <v>6"</v>
      </c>
      <c r="X30" s="552"/>
      <c r="Y30" s="542" t="str">
        <f ca="1">'Calculation for sizing HDT '!M93</f>
        <v> SA-106 Gr.B / SA-105</v>
      </c>
      <c r="Z30" s="552"/>
      <c r="AA30" s="552"/>
      <c r="AB30" s="552"/>
      <c r="AC30" s="552"/>
      <c r="AD30" s="552"/>
      <c r="AE30" s="553" t="str">
        <f ca="1">'Calculation for sizing HDT '!N93</f>
        <v>S.O. / R.F.</v>
      </c>
      <c r="AF30" s="554"/>
      <c r="AG30" s="554"/>
      <c r="AH30" s="554"/>
      <c r="AI30" s="542" t="str">
        <f ca="1">'Calculation for sizing HDT '!O93</f>
        <v> 150#</v>
      </c>
      <c r="AJ30" s="543"/>
      <c r="AM30" s="12"/>
      <c r="AN30" s="12"/>
      <c r="AO30" s="12"/>
    </row>
    <row r="31" spans="1:36" ht="30" customHeight="1" thickBot="1">
      <c r="A31" s="59">
        <v>24</v>
      </c>
      <c r="B31" s="544" t="s">
        <v>228</v>
      </c>
      <c r="C31" s="545"/>
      <c r="D31" s="545"/>
      <c r="E31" s="545"/>
      <c r="F31" s="545"/>
      <c r="G31" s="545"/>
      <c r="H31" s="545"/>
      <c r="I31" s="545"/>
      <c r="J31" s="545"/>
      <c r="K31" s="546"/>
      <c r="L31" s="547" t="s">
        <v>229</v>
      </c>
      <c r="M31" s="547"/>
      <c r="N31" s="547"/>
      <c r="O31" s="547"/>
      <c r="P31" s="547"/>
      <c r="Q31" s="547"/>
      <c r="R31" s="548"/>
      <c r="S31" s="549" t="s">
        <v>230</v>
      </c>
      <c r="T31" s="550"/>
      <c r="U31" s="550"/>
      <c r="V31" s="550"/>
      <c r="W31" s="551" t="str">
        <f ca="1">'Calculation for sizing HDT '!L93</f>
        <v>6"</v>
      </c>
      <c r="X31" s="552"/>
      <c r="Y31" s="542" t="str">
        <f ca="1">'Calculation for sizing HDT '!M93</f>
        <v> SA-106 Gr.B / SA-105</v>
      </c>
      <c r="Z31" s="552"/>
      <c r="AA31" s="552"/>
      <c r="AB31" s="552"/>
      <c r="AC31" s="552"/>
      <c r="AD31" s="552"/>
      <c r="AE31" s="553" t="str">
        <f ca="1">'Calculation for sizing HDT '!N93</f>
        <v>S.O. / R.F.</v>
      </c>
      <c r="AF31" s="554"/>
      <c r="AG31" s="554"/>
      <c r="AH31" s="554"/>
      <c r="AI31" s="542" t="str">
        <f ca="1">'Calculation for sizing HDT '!O93</f>
        <v> 150#</v>
      </c>
      <c r="AJ31" s="543"/>
    </row>
    <row r="32" spans="1:36" ht="19.7" customHeight="1" thickBot="1">
      <c r="A32" s="421" t="s">
        <v>231</v>
      </c>
      <c r="B32" s="422"/>
      <c r="C32" s="422"/>
      <c r="D32" s="422"/>
      <c r="E32" s="422"/>
      <c r="F32" s="422"/>
      <c r="G32" s="422"/>
      <c r="H32" s="422"/>
      <c r="I32" s="422"/>
      <c r="J32" s="422"/>
      <c r="K32" s="422"/>
      <c r="L32" s="422"/>
      <c r="M32" s="422"/>
      <c r="N32" s="422"/>
      <c r="O32" s="422"/>
      <c r="P32" s="422"/>
      <c r="Q32" s="422"/>
      <c r="R32" s="422"/>
      <c r="S32" s="422"/>
      <c r="T32" s="422"/>
      <c r="U32" s="422"/>
      <c r="V32" s="422"/>
      <c r="W32" s="422"/>
      <c r="X32" s="422"/>
      <c r="Y32" s="422"/>
      <c r="Z32" s="422"/>
      <c r="AA32" s="422"/>
      <c r="AB32" s="422"/>
      <c r="AC32" s="422"/>
      <c r="AD32" s="422"/>
      <c r="AE32" s="422"/>
      <c r="AF32" s="422"/>
      <c r="AG32" s="422"/>
      <c r="AH32" s="422"/>
      <c r="AI32" s="422"/>
      <c r="AJ32" s="473"/>
    </row>
    <row r="33" spans="1:37" ht="19.7" customHeight="1">
      <c r="A33" s="57">
        <v>25</v>
      </c>
      <c r="B33" s="512" t="s">
        <v>232</v>
      </c>
      <c r="C33" s="512"/>
      <c r="D33" s="512"/>
      <c r="E33" s="512"/>
      <c r="F33" s="512"/>
      <c r="G33" s="512"/>
      <c r="H33" s="512"/>
      <c r="I33" s="62" t="s">
        <v>158</v>
      </c>
      <c r="J33" s="536" t="s">
        <v>233</v>
      </c>
      <c r="K33" s="536"/>
      <c r="L33" s="536"/>
      <c r="M33" s="537"/>
      <c r="N33" s="537"/>
      <c r="O33" s="537"/>
      <c r="P33" s="538"/>
      <c r="Q33" s="62" t="s">
        <v>156</v>
      </c>
      <c r="R33" s="63" t="s">
        <v>234</v>
      </c>
      <c r="S33" s="539" t="s">
        <v>235</v>
      </c>
      <c r="T33" s="512"/>
      <c r="U33" s="512"/>
      <c r="V33" s="512"/>
      <c r="W33" s="512"/>
      <c r="X33" s="512"/>
      <c r="Y33" s="512"/>
      <c r="Z33" s="512"/>
      <c r="AA33" s="512"/>
      <c r="AB33" s="512"/>
      <c r="AC33" s="64" t="s">
        <v>158</v>
      </c>
      <c r="AD33" s="537" t="s">
        <v>236</v>
      </c>
      <c r="AE33" s="537"/>
      <c r="AF33" s="540"/>
      <c r="AG33" s="540"/>
      <c r="AH33" s="541"/>
      <c r="AI33" s="64" t="s">
        <v>156</v>
      </c>
      <c r="AJ33" s="65" t="s">
        <v>139</v>
      </c>
      <c r="AK33" s="66"/>
    </row>
    <row r="34" spans="1:37" ht="19.7" customHeight="1">
      <c r="A34" s="59">
        <v>26</v>
      </c>
      <c r="B34" s="456" t="s">
        <v>237</v>
      </c>
      <c r="C34" s="456"/>
      <c r="D34" s="456"/>
      <c r="E34" s="456"/>
      <c r="F34" s="456"/>
      <c r="G34" s="456"/>
      <c r="H34" s="456"/>
      <c r="I34" s="62" t="s">
        <v>156</v>
      </c>
      <c r="J34" s="529" t="s">
        <v>238</v>
      </c>
      <c r="K34" s="529"/>
      <c r="L34" s="529"/>
      <c r="M34" s="529"/>
      <c r="N34" s="529"/>
      <c r="O34" s="529"/>
      <c r="P34" s="530"/>
      <c r="Q34" s="62" t="s">
        <v>158</v>
      </c>
      <c r="R34" s="67" t="s">
        <v>139</v>
      </c>
      <c r="S34" s="467" t="s">
        <v>239</v>
      </c>
      <c r="T34" s="456"/>
      <c r="U34" s="456"/>
      <c r="V34" s="456"/>
      <c r="W34" s="456"/>
      <c r="X34" s="456"/>
      <c r="Y34" s="456"/>
      <c r="Z34" s="456"/>
      <c r="AA34" s="456"/>
      <c r="AB34" s="456"/>
      <c r="AC34" s="64" t="s">
        <v>158</v>
      </c>
      <c r="AD34" s="531" t="s">
        <v>236</v>
      </c>
      <c r="AE34" s="531"/>
      <c r="AF34" s="534"/>
      <c r="AG34" s="534"/>
      <c r="AH34" s="535"/>
      <c r="AI34" s="64" t="s">
        <v>156</v>
      </c>
      <c r="AJ34" s="67" t="s">
        <v>139</v>
      </c>
      <c r="AK34" s="66"/>
    </row>
    <row r="35" spans="1:37" ht="19.7" customHeight="1">
      <c r="A35" s="57">
        <v>27</v>
      </c>
      <c r="B35" s="456" t="s">
        <v>240</v>
      </c>
      <c r="C35" s="456"/>
      <c r="D35" s="456"/>
      <c r="E35" s="456"/>
      <c r="F35" s="456"/>
      <c r="G35" s="456"/>
      <c r="H35" s="456"/>
      <c r="I35" s="62" t="s">
        <v>158</v>
      </c>
      <c r="J35" s="529" t="s">
        <v>238</v>
      </c>
      <c r="K35" s="529"/>
      <c r="L35" s="529"/>
      <c r="M35" s="529"/>
      <c r="N35" s="529"/>
      <c r="O35" s="529"/>
      <c r="P35" s="530"/>
      <c r="Q35" s="62" t="s">
        <v>156</v>
      </c>
      <c r="R35" s="67" t="s">
        <v>139</v>
      </c>
      <c r="S35" s="467" t="s">
        <v>241</v>
      </c>
      <c r="T35" s="456"/>
      <c r="U35" s="456"/>
      <c r="V35" s="456"/>
      <c r="W35" s="456"/>
      <c r="X35" s="456"/>
      <c r="Y35" s="456"/>
      <c r="Z35" s="456"/>
      <c r="AA35" s="456"/>
      <c r="AB35" s="456"/>
      <c r="AC35" s="64" t="s">
        <v>158</v>
      </c>
      <c r="AD35" s="529" t="s">
        <v>242</v>
      </c>
      <c r="AE35" s="529"/>
      <c r="AF35" s="529"/>
      <c r="AG35" s="529"/>
      <c r="AH35" s="530"/>
      <c r="AI35" s="64" t="s">
        <v>156</v>
      </c>
      <c r="AJ35" s="67" t="s">
        <v>139</v>
      </c>
      <c r="AK35" s="66"/>
    </row>
    <row r="36" spans="1:37" ht="19.7" customHeight="1">
      <c r="A36" s="59">
        <v>28</v>
      </c>
      <c r="B36" s="456" t="s">
        <v>243</v>
      </c>
      <c r="C36" s="456"/>
      <c r="D36" s="456"/>
      <c r="E36" s="456"/>
      <c r="F36" s="456"/>
      <c r="G36" s="456"/>
      <c r="H36" s="456"/>
      <c r="I36" s="62" t="s">
        <v>156</v>
      </c>
      <c r="J36" s="529" t="s">
        <v>238</v>
      </c>
      <c r="K36" s="529"/>
      <c r="L36" s="529"/>
      <c r="M36" s="529"/>
      <c r="N36" s="529"/>
      <c r="O36" s="529"/>
      <c r="P36" s="530"/>
      <c r="Q36" s="62" t="s">
        <v>158</v>
      </c>
      <c r="R36" s="67" t="s">
        <v>139</v>
      </c>
      <c r="S36" s="467" t="s">
        <v>244</v>
      </c>
      <c r="T36" s="456"/>
      <c r="U36" s="456"/>
      <c r="V36" s="456"/>
      <c r="W36" s="456"/>
      <c r="X36" s="456"/>
      <c r="Y36" s="456"/>
      <c r="Z36" s="456"/>
      <c r="AA36" s="456"/>
      <c r="AB36" s="456"/>
      <c r="AC36" s="64" t="s">
        <v>156</v>
      </c>
      <c r="AD36" s="531" t="s">
        <v>236</v>
      </c>
      <c r="AE36" s="531"/>
      <c r="AF36" s="532"/>
      <c r="AG36" s="532"/>
      <c r="AH36" s="533"/>
      <c r="AI36" s="64" t="s">
        <v>156</v>
      </c>
      <c r="AJ36" s="67" t="s">
        <v>139</v>
      </c>
      <c r="AK36" s="66"/>
    </row>
    <row r="37" spans="1:37" ht="19.7" customHeight="1">
      <c r="A37" s="57">
        <v>29</v>
      </c>
      <c r="B37" s="456" t="s">
        <v>245</v>
      </c>
      <c r="C37" s="456"/>
      <c r="D37" s="456"/>
      <c r="E37" s="456"/>
      <c r="F37" s="456"/>
      <c r="G37" s="456"/>
      <c r="H37" s="456"/>
      <c r="I37" s="62" t="s">
        <v>156</v>
      </c>
      <c r="J37" s="529" t="s">
        <v>238</v>
      </c>
      <c r="K37" s="529"/>
      <c r="L37" s="529"/>
      <c r="M37" s="529"/>
      <c r="N37" s="529"/>
      <c r="O37" s="529"/>
      <c r="P37" s="530"/>
      <c r="Q37" s="62" t="s">
        <v>158</v>
      </c>
      <c r="R37" s="67" t="s">
        <v>139</v>
      </c>
      <c r="S37" s="467" t="s">
        <v>246</v>
      </c>
      <c r="T37" s="456"/>
      <c r="U37" s="456"/>
      <c r="V37" s="456"/>
      <c r="W37" s="456"/>
      <c r="X37" s="456"/>
      <c r="Y37" s="456"/>
      <c r="Z37" s="456"/>
      <c r="AA37" s="456"/>
      <c r="AB37" s="456"/>
      <c r="AC37" s="62" t="s">
        <v>156</v>
      </c>
      <c r="AD37" s="531" t="s">
        <v>236</v>
      </c>
      <c r="AE37" s="531"/>
      <c r="AF37" s="532"/>
      <c r="AG37" s="532"/>
      <c r="AH37" s="533"/>
      <c r="AI37" s="62" t="s">
        <v>158</v>
      </c>
      <c r="AJ37" s="68" t="s">
        <v>139</v>
      </c>
      <c r="AK37" s="66"/>
    </row>
    <row r="38" spans="1:36" ht="19.7" customHeight="1">
      <c r="A38" s="59">
        <v>30</v>
      </c>
      <c r="B38" s="456" t="s">
        <v>247</v>
      </c>
      <c r="C38" s="456"/>
      <c r="D38" s="456"/>
      <c r="E38" s="456"/>
      <c r="F38" s="456"/>
      <c r="G38" s="456"/>
      <c r="H38" s="456"/>
      <c r="I38" s="62" t="s">
        <v>156</v>
      </c>
      <c r="J38" s="529" t="s">
        <v>238</v>
      </c>
      <c r="K38" s="529"/>
      <c r="L38" s="529"/>
      <c r="M38" s="529"/>
      <c r="N38" s="529"/>
      <c r="O38" s="529"/>
      <c r="P38" s="530"/>
      <c r="Q38" s="62" t="s">
        <v>158</v>
      </c>
      <c r="R38" s="67" t="s">
        <v>139</v>
      </c>
      <c r="S38" s="467" t="s">
        <v>248</v>
      </c>
      <c r="T38" s="456"/>
      <c r="U38" s="456"/>
      <c r="V38" s="456"/>
      <c r="W38" s="456"/>
      <c r="X38" s="456"/>
      <c r="Y38" s="456"/>
      <c r="Z38" s="456"/>
      <c r="AA38" s="456"/>
      <c r="AB38" s="456"/>
      <c r="AC38" s="62" t="s">
        <v>156</v>
      </c>
      <c r="AD38" s="531" t="s">
        <v>236</v>
      </c>
      <c r="AE38" s="531"/>
      <c r="AF38" s="532"/>
      <c r="AG38" s="532"/>
      <c r="AH38" s="533"/>
      <c r="AI38" s="62" t="s">
        <v>158</v>
      </c>
      <c r="AJ38" s="67" t="s">
        <v>139</v>
      </c>
    </row>
    <row r="39" spans="1:37" ht="35.25" customHeight="1">
      <c r="A39" s="59">
        <v>31</v>
      </c>
      <c r="B39" s="456" t="s">
        <v>249</v>
      </c>
      <c r="C39" s="456"/>
      <c r="D39" s="456"/>
      <c r="E39" s="456"/>
      <c r="F39" s="456"/>
      <c r="G39" s="456"/>
      <c r="H39" s="456"/>
      <c r="I39" s="62" t="s">
        <v>158</v>
      </c>
      <c r="J39" s="529" t="s">
        <v>238</v>
      </c>
      <c r="K39" s="529"/>
      <c r="L39" s="529"/>
      <c r="M39" s="529"/>
      <c r="N39" s="529"/>
      <c r="O39" s="529"/>
      <c r="P39" s="530"/>
      <c r="Q39" s="62" t="s">
        <v>156</v>
      </c>
      <c r="R39" s="67" t="s">
        <v>139</v>
      </c>
      <c r="S39" s="467" t="s">
        <v>250</v>
      </c>
      <c r="T39" s="456"/>
      <c r="U39" s="456"/>
      <c r="V39" s="456"/>
      <c r="W39" s="456"/>
      <c r="X39" s="456"/>
      <c r="Y39" s="456"/>
      <c r="Z39" s="456"/>
      <c r="AA39" s="456"/>
      <c r="AB39" s="456"/>
      <c r="AC39" s="62" t="s">
        <v>156</v>
      </c>
      <c r="AD39" s="529" t="s">
        <v>251</v>
      </c>
      <c r="AE39" s="529"/>
      <c r="AF39" s="529"/>
      <c r="AG39" s="529"/>
      <c r="AH39" s="530"/>
      <c r="AI39" s="62" t="s">
        <v>158</v>
      </c>
      <c r="AJ39" s="69" t="s">
        <v>139</v>
      </c>
      <c r="AK39" s="66"/>
    </row>
    <row r="40" spans="1:36" ht="19.7" customHeight="1" thickBot="1">
      <c r="A40" s="70">
        <v>32</v>
      </c>
      <c r="B40" s="525"/>
      <c r="C40" s="525"/>
      <c r="D40" s="525"/>
      <c r="E40" s="525"/>
      <c r="F40" s="525"/>
      <c r="G40" s="525"/>
      <c r="H40" s="525"/>
      <c r="I40" s="71"/>
      <c r="J40" s="526"/>
      <c r="K40" s="526"/>
      <c r="L40" s="526"/>
      <c r="M40" s="526"/>
      <c r="N40" s="526"/>
      <c r="O40" s="526"/>
      <c r="P40" s="527"/>
      <c r="Q40" s="71"/>
      <c r="R40" s="72"/>
      <c r="S40" s="528" t="s">
        <v>252</v>
      </c>
      <c r="T40" s="525"/>
      <c r="U40" s="525"/>
      <c r="V40" s="525"/>
      <c r="W40" s="525"/>
      <c r="X40" s="525"/>
      <c r="Y40" s="525"/>
      <c r="Z40" s="525"/>
      <c r="AA40" s="525"/>
      <c r="AB40" s="525"/>
      <c r="AC40" s="73" t="s">
        <v>156</v>
      </c>
      <c r="AD40" s="529" t="s">
        <v>236</v>
      </c>
      <c r="AE40" s="529"/>
      <c r="AF40" s="529"/>
      <c r="AG40" s="529"/>
      <c r="AH40" s="530"/>
      <c r="AI40" s="73" t="s">
        <v>158</v>
      </c>
      <c r="AJ40" s="72" t="s">
        <v>139</v>
      </c>
    </row>
    <row r="41" spans="1:36" ht="20.45" customHeight="1" thickBot="1">
      <c r="A41" s="421" t="s">
        <v>253</v>
      </c>
      <c r="B41" s="422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  <c r="N41" s="422"/>
      <c r="O41" s="422"/>
      <c r="P41" s="422"/>
      <c r="Q41" s="422"/>
      <c r="R41" s="422"/>
      <c r="S41" s="422"/>
      <c r="T41" s="422"/>
      <c r="U41" s="422"/>
      <c r="V41" s="422"/>
      <c r="W41" s="422"/>
      <c r="X41" s="422"/>
      <c r="Y41" s="422"/>
      <c r="Z41" s="422"/>
      <c r="AA41" s="422"/>
      <c r="AB41" s="422"/>
      <c r="AC41" s="422"/>
      <c r="AD41" s="422"/>
      <c r="AE41" s="422"/>
      <c r="AF41" s="422"/>
      <c r="AG41" s="422"/>
      <c r="AH41" s="422"/>
      <c r="AI41" s="422"/>
      <c r="AJ41" s="473"/>
    </row>
    <row r="42" spans="1:36" ht="20.1" customHeight="1">
      <c r="A42" s="57">
        <v>31</v>
      </c>
      <c r="B42" s="512" t="s">
        <v>254</v>
      </c>
      <c r="C42" s="512"/>
      <c r="D42" s="512"/>
      <c r="E42" s="512"/>
      <c r="F42" s="512"/>
      <c r="G42" s="512"/>
      <c r="H42" s="513">
        <f ca="1">'Calculation for sizing HDT '!D93</f>
        <v>900</v>
      </c>
      <c r="I42" s="513"/>
      <c r="J42" s="513"/>
      <c r="K42" s="513"/>
      <c r="L42" s="513"/>
      <c r="M42" s="513"/>
      <c r="N42" s="513"/>
      <c r="O42" s="513"/>
      <c r="P42" s="513"/>
      <c r="Q42" s="513"/>
      <c r="R42" s="514"/>
      <c r="S42" s="515" t="s">
        <v>255</v>
      </c>
      <c r="T42" s="516"/>
      <c r="U42" s="516"/>
      <c r="V42" s="516"/>
      <c r="W42" s="516"/>
      <c r="X42" s="516"/>
      <c r="Y42" s="517" t="s">
        <v>256</v>
      </c>
      <c r="Z42" s="517"/>
      <c r="AA42" s="517"/>
      <c r="AB42" s="517"/>
      <c r="AC42" s="517"/>
      <c r="AD42" s="517"/>
      <c r="AE42" s="517"/>
      <c r="AF42" s="517"/>
      <c r="AG42" s="517"/>
      <c r="AH42" s="517"/>
      <c r="AI42" s="517"/>
      <c r="AJ42" s="518"/>
    </row>
    <row r="43" spans="1:36" ht="20.1" customHeight="1">
      <c r="A43" s="59">
        <v>32</v>
      </c>
      <c r="B43" s="456" t="s">
        <v>257</v>
      </c>
      <c r="C43" s="456"/>
      <c r="D43" s="456"/>
      <c r="E43" s="456"/>
      <c r="F43" s="456"/>
      <c r="G43" s="456"/>
      <c r="H43" s="519">
        <f ca="1">'Calculation for sizing HDT '!E93</f>
        <v>1500</v>
      </c>
      <c r="I43" s="519"/>
      <c r="J43" s="519"/>
      <c r="K43" s="519"/>
      <c r="L43" s="519"/>
      <c r="M43" s="519"/>
      <c r="N43" s="519"/>
      <c r="O43" s="519"/>
      <c r="P43" s="519"/>
      <c r="Q43" s="519"/>
      <c r="R43" s="520"/>
      <c r="S43" s="521" t="s">
        <v>258</v>
      </c>
      <c r="T43" s="522"/>
      <c r="U43" s="522"/>
      <c r="V43" s="522"/>
      <c r="W43" s="522"/>
      <c r="X43" s="522"/>
      <c r="Y43" s="523" t="s">
        <v>217</v>
      </c>
      <c r="Z43" s="523"/>
      <c r="AA43" s="523"/>
      <c r="AB43" s="523"/>
      <c r="AC43" s="523"/>
      <c r="AD43" s="523"/>
      <c r="AE43" s="523"/>
      <c r="AF43" s="523"/>
      <c r="AG43" s="523"/>
      <c r="AH43" s="523"/>
      <c r="AI43" s="523"/>
      <c r="AJ43" s="524"/>
    </row>
    <row r="44" spans="1:36" ht="30" customHeight="1">
      <c r="A44" s="57">
        <v>33</v>
      </c>
      <c r="B44" s="456" t="s">
        <v>259</v>
      </c>
      <c r="C44" s="456"/>
      <c r="D44" s="456"/>
      <c r="E44" s="456"/>
      <c r="F44" s="456"/>
      <c r="G44" s="456"/>
      <c r="H44" s="502" t="str">
        <f ca="1">'Calculation for sizing HDT '!H93</f>
        <v>2800 x 2800 x 3500 (Approx.)</v>
      </c>
      <c r="I44" s="503"/>
      <c r="J44" s="503"/>
      <c r="K44" s="503"/>
      <c r="L44" s="503"/>
      <c r="M44" s="503"/>
      <c r="N44" s="503"/>
      <c r="O44" s="503"/>
      <c r="P44" s="503"/>
      <c r="Q44" s="503"/>
      <c r="R44" s="504"/>
      <c r="S44" s="490" t="s">
        <v>260</v>
      </c>
      <c r="T44" s="491"/>
      <c r="U44" s="491"/>
      <c r="V44" s="491"/>
      <c r="W44" s="491"/>
      <c r="X44" s="491"/>
      <c r="Y44" s="505" t="str">
        <f ca="1">'Calculation for sizing HDT '!P93</f>
        <v>1130</v>
      </c>
      <c r="Z44" s="505"/>
      <c r="AA44" s="505"/>
      <c r="AB44" s="505"/>
      <c r="AC44" s="505"/>
      <c r="AD44" s="505"/>
      <c r="AE44" s="505"/>
      <c r="AF44" s="505"/>
      <c r="AG44" s="505"/>
      <c r="AH44" s="505"/>
      <c r="AI44" s="505"/>
      <c r="AJ44" s="506"/>
    </row>
    <row r="45" spans="1:40" ht="30" customHeight="1">
      <c r="A45" s="59">
        <v>34</v>
      </c>
      <c r="B45" s="456" t="s">
        <v>18</v>
      </c>
      <c r="C45" s="456"/>
      <c r="D45" s="456"/>
      <c r="E45" s="456"/>
      <c r="F45" s="456"/>
      <c r="G45" s="456"/>
      <c r="H45" s="487" t="str">
        <f ca="1">'Calculation for sizing HDT '!I93</f>
        <v>Butterfly Valve with Acctuator 6"</v>
      </c>
      <c r="I45" s="488"/>
      <c r="J45" s="488"/>
      <c r="K45" s="488"/>
      <c r="L45" s="488"/>
      <c r="M45" s="488"/>
      <c r="N45" s="488"/>
      <c r="O45" s="488"/>
      <c r="P45" s="488"/>
      <c r="Q45" s="488"/>
      <c r="R45" s="489"/>
      <c r="S45" s="490" t="s">
        <v>261</v>
      </c>
      <c r="T45" s="491"/>
      <c r="U45" s="491"/>
      <c r="V45" s="491"/>
      <c r="W45" s="491"/>
      <c r="X45" s="491"/>
      <c r="Y45" s="510" t="s">
        <v>389</v>
      </c>
      <c r="Z45" s="511"/>
      <c r="AA45" s="511"/>
      <c r="AB45" s="511"/>
      <c r="AC45" s="511"/>
      <c r="AD45" s="511"/>
      <c r="AE45" s="511"/>
      <c r="AF45" s="507">
        <f ca="1">'Calculation for sizing HDT '!Q93</f>
        <v>4000</v>
      </c>
      <c r="AG45" s="508"/>
      <c r="AH45" s="508"/>
      <c r="AI45" s="508"/>
      <c r="AJ45" s="509"/>
      <c r="AL45" s="606"/>
      <c r="AM45" s="87"/>
      <c r="AN45" s="87"/>
    </row>
    <row r="46" spans="1:36" ht="30" customHeight="1">
      <c r="A46" s="57">
        <v>35</v>
      </c>
      <c r="B46" s="456" t="s">
        <v>19</v>
      </c>
      <c r="C46" s="456"/>
      <c r="D46" s="456"/>
      <c r="E46" s="456"/>
      <c r="F46" s="456"/>
      <c r="G46" s="456"/>
      <c r="H46" s="487" t="str">
        <f ca="1">'Calculation for sizing HDT '!J93</f>
        <v>Butterfly Valve with acctuator 4"</v>
      </c>
      <c r="I46" s="488"/>
      <c r="J46" s="488"/>
      <c r="K46" s="488"/>
      <c r="L46" s="488"/>
      <c r="M46" s="488"/>
      <c r="N46" s="488"/>
      <c r="O46" s="488"/>
      <c r="P46" s="488"/>
      <c r="Q46" s="488"/>
      <c r="R46" s="489"/>
      <c r="S46" s="490" t="s">
        <v>262</v>
      </c>
      <c r="T46" s="491"/>
      <c r="U46" s="491"/>
      <c r="V46" s="491"/>
      <c r="W46" s="491"/>
      <c r="X46" s="491"/>
      <c r="Y46" s="492" t="str">
        <f ca="1">'Calculation for sizing HDT '!D11</f>
        <v>SA 2.1/2 
100 micron Epoxy</v>
      </c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9"/>
    </row>
    <row r="47" spans="1:36" ht="62.45" customHeight="1" thickBot="1">
      <c r="A47" s="61">
        <v>36</v>
      </c>
      <c r="B47" s="477" t="s">
        <v>20</v>
      </c>
      <c r="C47" s="477"/>
      <c r="D47" s="477"/>
      <c r="E47" s="477"/>
      <c r="F47" s="477"/>
      <c r="G47" s="477"/>
      <c r="H47" s="493" t="str">
        <f ca="1">'Calculation for sizing HDT '!K93</f>
        <v>Check Valve 6"</v>
      </c>
      <c r="I47" s="494"/>
      <c r="J47" s="494"/>
      <c r="K47" s="494"/>
      <c r="L47" s="494"/>
      <c r="M47" s="494"/>
      <c r="N47" s="494"/>
      <c r="O47" s="494"/>
      <c r="P47" s="494"/>
      <c r="Q47" s="494"/>
      <c r="R47" s="495"/>
      <c r="S47" s="496" t="s">
        <v>263</v>
      </c>
      <c r="T47" s="497"/>
      <c r="U47" s="497"/>
      <c r="V47" s="497"/>
      <c r="W47" s="497"/>
      <c r="X47" s="498"/>
      <c r="Y47" s="499" t="str">
        <f ca="1">'Calculation for sizing HDT '!D12</f>
        <v>SA 2.1/2 
40 micron Zinc Rich Epoxy Primer
40 micron High Build Epoxy Polyamide
40 micron Aliphatic Polyurethane Top Coat
Total: 120 micron</v>
      </c>
      <c r="Z47" s="500"/>
      <c r="AA47" s="500"/>
      <c r="AB47" s="500"/>
      <c r="AC47" s="500"/>
      <c r="AD47" s="500"/>
      <c r="AE47" s="500"/>
      <c r="AF47" s="500"/>
      <c r="AG47" s="500"/>
      <c r="AH47" s="500"/>
      <c r="AI47" s="500"/>
      <c r="AJ47" s="501"/>
    </row>
    <row r="48" spans="1:36" ht="20.45" customHeight="1" thickBot="1">
      <c r="A48" s="421" t="s">
        <v>264</v>
      </c>
      <c r="B48" s="422"/>
      <c r="C48" s="422"/>
      <c r="D48" s="422"/>
      <c r="E48" s="422"/>
      <c r="F48" s="422"/>
      <c r="G48" s="422"/>
      <c r="H48" s="422"/>
      <c r="I48" s="422"/>
      <c r="J48" s="422"/>
      <c r="K48" s="422"/>
      <c r="L48" s="422"/>
      <c r="M48" s="422"/>
      <c r="N48" s="422"/>
      <c r="O48" s="422"/>
      <c r="P48" s="422"/>
      <c r="Q48" s="422"/>
      <c r="R48" s="422"/>
      <c r="S48" s="422"/>
      <c r="T48" s="422"/>
      <c r="U48" s="422"/>
      <c r="V48" s="422"/>
      <c r="W48" s="422"/>
      <c r="X48" s="422"/>
      <c r="Y48" s="422"/>
      <c r="Z48" s="422"/>
      <c r="AA48" s="422"/>
      <c r="AB48" s="422"/>
      <c r="AC48" s="422"/>
      <c r="AD48" s="422"/>
      <c r="AE48" s="422"/>
      <c r="AF48" s="422"/>
      <c r="AG48" s="422"/>
      <c r="AH48" s="422"/>
      <c r="AI48" s="422"/>
      <c r="AJ48" s="473"/>
    </row>
    <row r="49" spans="1:36" ht="20.45" customHeight="1">
      <c r="A49" s="57">
        <v>37</v>
      </c>
      <c r="B49" s="482"/>
      <c r="C49" s="483"/>
      <c r="D49" s="483"/>
      <c r="E49" s="483"/>
      <c r="F49" s="483"/>
      <c r="G49" s="484"/>
      <c r="H49" s="485" t="s">
        <v>236</v>
      </c>
      <c r="I49" s="485"/>
      <c r="J49" s="485" t="s">
        <v>139</v>
      </c>
      <c r="K49" s="485"/>
      <c r="L49" s="84" t="s">
        <v>265</v>
      </c>
      <c r="M49" s="84"/>
      <c r="N49" s="84"/>
      <c r="O49" s="84"/>
      <c r="P49" s="84"/>
      <c r="Q49" s="84"/>
      <c r="R49" s="86"/>
      <c r="S49" s="483"/>
      <c r="T49" s="483"/>
      <c r="U49" s="483"/>
      <c r="V49" s="483"/>
      <c r="W49" s="483"/>
      <c r="X49" s="484"/>
      <c r="Y49" s="485" t="s">
        <v>236</v>
      </c>
      <c r="Z49" s="485"/>
      <c r="AA49" s="485" t="s">
        <v>139</v>
      </c>
      <c r="AB49" s="485"/>
      <c r="AC49" s="485" t="s">
        <v>265</v>
      </c>
      <c r="AD49" s="485"/>
      <c r="AE49" s="485"/>
      <c r="AF49" s="485"/>
      <c r="AG49" s="485"/>
      <c r="AH49" s="485"/>
      <c r="AI49" s="485"/>
      <c r="AJ49" s="486"/>
    </row>
    <row r="50" spans="1:36" ht="20.45" customHeight="1">
      <c r="A50" s="59">
        <v>38</v>
      </c>
      <c r="B50" s="456" t="s">
        <v>266</v>
      </c>
      <c r="C50" s="456"/>
      <c r="D50" s="456"/>
      <c r="E50" s="456"/>
      <c r="F50" s="456"/>
      <c r="G50" s="456"/>
      <c r="H50" s="60" t="s">
        <v>156</v>
      </c>
      <c r="I50" s="60"/>
      <c r="J50" s="457" t="s">
        <v>158</v>
      </c>
      <c r="K50" s="457"/>
      <c r="L50" s="465"/>
      <c r="M50" s="465"/>
      <c r="N50" s="465"/>
      <c r="O50" s="465"/>
      <c r="P50" s="465"/>
      <c r="Q50" s="465"/>
      <c r="R50" s="466"/>
      <c r="S50" s="467" t="s">
        <v>267</v>
      </c>
      <c r="T50" s="456"/>
      <c r="U50" s="456"/>
      <c r="V50" s="456"/>
      <c r="W50" s="456"/>
      <c r="X50" s="456"/>
      <c r="Y50" s="60" t="s">
        <v>156</v>
      </c>
      <c r="Z50" s="60"/>
      <c r="AA50" s="60" t="s">
        <v>158</v>
      </c>
      <c r="AB50" s="60"/>
      <c r="AC50" s="468"/>
      <c r="AD50" s="468"/>
      <c r="AE50" s="468"/>
      <c r="AF50" s="468"/>
      <c r="AG50" s="468"/>
      <c r="AH50" s="468"/>
      <c r="AI50" s="468"/>
      <c r="AJ50" s="469"/>
    </row>
    <row r="51" spans="1:36" ht="20.45" customHeight="1">
      <c r="A51" s="57">
        <v>39</v>
      </c>
      <c r="B51" s="456" t="s">
        <v>268</v>
      </c>
      <c r="C51" s="456"/>
      <c r="D51" s="456"/>
      <c r="E51" s="456"/>
      <c r="F51" s="456"/>
      <c r="G51" s="456"/>
      <c r="H51" s="60" t="s">
        <v>156</v>
      </c>
      <c r="I51" s="60"/>
      <c r="J51" s="457" t="s">
        <v>158</v>
      </c>
      <c r="K51" s="457"/>
      <c r="L51" s="465"/>
      <c r="M51" s="465"/>
      <c r="N51" s="465"/>
      <c r="O51" s="465"/>
      <c r="P51" s="465"/>
      <c r="Q51" s="465"/>
      <c r="R51" s="466"/>
      <c r="S51" s="467" t="s">
        <v>269</v>
      </c>
      <c r="T51" s="456"/>
      <c r="U51" s="456"/>
      <c r="V51" s="456"/>
      <c r="W51" s="456"/>
      <c r="X51" s="456"/>
      <c r="Y51" s="60" t="s">
        <v>156</v>
      </c>
      <c r="Z51" s="60"/>
      <c r="AA51" s="60" t="s">
        <v>158</v>
      </c>
      <c r="AB51" s="60"/>
      <c r="AC51" s="468"/>
      <c r="AD51" s="468"/>
      <c r="AE51" s="468"/>
      <c r="AF51" s="468"/>
      <c r="AG51" s="468"/>
      <c r="AH51" s="468"/>
      <c r="AI51" s="468"/>
      <c r="AJ51" s="469"/>
    </row>
    <row r="52" spans="1:36" ht="20.45" customHeight="1">
      <c r="A52" s="59">
        <v>40</v>
      </c>
      <c r="B52" s="456" t="s">
        <v>270</v>
      </c>
      <c r="C52" s="456"/>
      <c r="D52" s="456"/>
      <c r="E52" s="456"/>
      <c r="F52" s="456"/>
      <c r="G52" s="456"/>
      <c r="H52" s="60" t="s">
        <v>156</v>
      </c>
      <c r="I52" s="60"/>
      <c r="J52" s="457" t="s">
        <v>158</v>
      </c>
      <c r="K52" s="457"/>
      <c r="L52" s="465"/>
      <c r="M52" s="465"/>
      <c r="N52" s="465"/>
      <c r="O52" s="465"/>
      <c r="P52" s="465"/>
      <c r="Q52" s="465"/>
      <c r="R52" s="466"/>
      <c r="S52" s="467" t="s">
        <v>271</v>
      </c>
      <c r="T52" s="456"/>
      <c r="U52" s="456"/>
      <c r="V52" s="456"/>
      <c r="W52" s="456"/>
      <c r="X52" s="456"/>
      <c r="Y52" s="60" t="s">
        <v>156</v>
      </c>
      <c r="Z52" s="60"/>
      <c r="AA52" s="60" t="s">
        <v>158</v>
      </c>
      <c r="AB52" s="60"/>
      <c r="AC52" s="468"/>
      <c r="AD52" s="468"/>
      <c r="AE52" s="468"/>
      <c r="AF52" s="468"/>
      <c r="AG52" s="468"/>
      <c r="AH52" s="468"/>
      <c r="AI52" s="468"/>
      <c r="AJ52" s="469"/>
    </row>
    <row r="53" spans="1:36" ht="24.95" customHeight="1">
      <c r="A53" s="57">
        <v>41</v>
      </c>
      <c r="B53" s="456" t="s">
        <v>272</v>
      </c>
      <c r="C53" s="456"/>
      <c r="D53" s="456"/>
      <c r="E53" s="456"/>
      <c r="F53" s="456"/>
      <c r="G53" s="456"/>
      <c r="H53" s="60" t="s">
        <v>156</v>
      </c>
      <c r="I53" s="60"/>
      <c r="J53" s="457" t="s">
        <v>158</v>
      </c>
      <c r="K53" s="457"/>
      <c r="L53" s="458" t="s">
        <v>273</v>
      </c>
      <c r="M53" s="458"/>
      <c r="N53" s="458"/>
      <c r="O53" s="458"/>
      <c r="P53" s="458"/>
      <c r="Q53" s="458"/>
      <c r="R53" s="459"/>
      <c r="S53" s="460" t="s">
        <v>274</v>
      </c>
      <c r="T53" s="461"/>
      <c r="U53" s="461"/>
      <c r="V53" s="461"/>
      <c r="W53" s="461"/>
      <c r="X53" s="461"/>
      <c r="Y53" s="457" t="s">
        <v>156</v>
      </c>
      <c r="Z53" s="457"/>
      <c r="AA53" s="457" t="s">
        <v>158</v>
      </c>
      <c r="AB53" s="457"/>
      <c r="AC53" s="462" t="s">
        <v>275</v>
      </c>
      <c r="AD53" s="463"/>
      <c r="AE53" s="463"/>
      <c r="AF53" s="463"/>
      <c r="AG53" s="463"/>
      <c r="AH53" s="463"/>
      <c r="AI53" s="463"/>
      <c r="AJ53" s="464"/>
    </row>
    <row r="54" spans="1:36" ht="20.45" customHeight="1" thickBot="1">
      <c r="A54" s="61">
        <v>42</v>
      </c>
      <c r="B54" s="477" t="s">
        <v>276</v>
      </c>
      <c r="C54" s="477"/>
      <c r="D54" s="477"/>
      <c r="E54" s="477"/>
      <c r="F54" s="477"/>
      <c r="G54" s="477"/>
      <c r="H54" s="470" t="s">
        <v>156</v>
      </c>
      <c r="I54" s="470"/>
      <c r="J54" s="478" t="s">
        <v>158</v>
      </c>
      <c r="K54" s="478"/>
      <c r="L54" s="479"/>
      <c r="M54" s="479"/>
      <c r="N54" s="479"/>
      <c r="O54" s="479"/>
      <c r="P54" s="479"/>
      <c r="Q54" s="479"/>
      <c r="R54" s="480"/>
      <c r="S54" s="481" t="s">
        <v>277</v>
      </c>
      <c r="T54" s="477"/>
      <c r="U54" s="477"/>
      <c r="V54" s="477"/>
      <c r="W54" s="477"/>
      <c r="X54" s="477"/>
      <c r="Y54" s="470" t="s">
        <v>158</v>
      </c>
      <c r="Z54" s="470"/>
      <c r="AA54" s="470" t="s">
        <v>156</v>
      </c>
      <c r="AB54" s="470"/>
      <c r="AC54" s="471"/>
      <c r="AD54" s="471"/>
      <c r="AE54" s="471"/>
      <c r="AF54" s="471"/>
      <c r="AG54" s="471"/>
      <c r="AH54" s="471"/>
      <c r="AI54" s="471"/>
      <c r="AJ54" s="472"/>
    </row>
    <row r="55" spans="1:36" ht="20.45" customHeight="1" thickBot="1">
      <c r="A55" s="421" t="s">
        <v>278</v>
      </c>
      <c r="B55" s="422"/>
      <c r="C55" s="422"/>
      <c r="D55" s="422"/>
      <c r="E55" s="422"/>
      <c r="F55" s="422"/>
      <c r="G55" s="422"/>
      <c r="H55" s="422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422"/>
      <c r="AG55" s="422"/>
      <c r="AH55" s="422"/>
      <c r="AI55" s="422"/>
      <c r="AJ55" s="473"/>
    </row>
    <row r="56" spans="1:36" ht="21.75" customHeight="1" thickBot="1">
      <c r="A56" s="74">
        <v>43</v>
      </c>
      <c r="B56" s="474" t="s">
        <v>443</v>
      </c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475"/>
      <c r="N56" s="475"/>
      <c r="O56" s="475"/>
      <c r="P56" s="475"/>
      <c r="Q56" s="475"/>
      <c r="R56" s="475"/>
      <c r="S56" s="475"/>
      <c r="T56" s="475"/>
      <c r="U56" s="475"/>
      <c r="V56" s="475"/>
      <c r="W56" s="475"/>
      <c r="X56" s="475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476"/>
    </row>
    <row r="57" spans="1:36" ht="24.95" customHeight="1">
      <c r="A57" s="75"/>
      <c r="B57" s="249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  <c r="AA57" s="250"/>
      <c r="AB57" s="250"/>
      <c r="AC57" s="250"/>
      <c r="AD57" s="250"/>
      <c r="AE57" s="250"/>
      <c r="AF57" s="250"/>
      <c r="AG57" s="250"/>
      <c r="AH57" s="250"/>
      <c r="AI57" s="250"/>
      <c r="AJ57" s="250"/>
    </row>
    <row r="58" spans="1:36" ht="24.95" customHeight="1">
      <c r="A58" s="75"/>
      <c r="B58" s="76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</row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  <row r="89" ht="20.1" customHeight="1"/>
    <row r="90" ht="20.1" customHeight="1"/>
    <row r="91" ht="20.1" customHeight="1"/>
    <row r="92" ht="20.1" customHeight="1"/>
    <row r="93" ht="20.1" customHeight="1"/>
    <row r="94" ht="20.1" customHeight="1"/>
    <row r="95" ht="20.1" customHeight="1"/>
    <row r="96" ht="20.1" customHeight="1"/>
    <row r="97" ht="20.1" customHeight="1"/>
    <row r="98" ht="20.1" customHeight="1"/>
    <row r="99" ht="20.1" customHeight="1"/>
    <row r="100" ht="20.1" customHeight="1"/>
    <row r="101" ht="20.1" customHeight="1"/>
    <row r="102" ht="20.1" customHeight="1"/>
    <row r="103" ht="20.1" customHeight="1"/>
    <row r="104" ht="20.1" customHeight="1"/>
    <row r="105" ht="20.1" customHeight="1"/>
    <row r="106" ht="20.1" customHeight="1"/>
    <row r="107" ht="20.1" customHeight="1"/>
    <row r="108" ht="20.1" customHeight="1"/>
    <row r="109" ht="20.1" customHeight="1"/>
  </sheetData>
  <mergeCells count="252">
    <mergeCell ref="AL45:AN45"/>
    <mergeCell ref="A4:AJ4"/>
    <mergeCell ref="B5:K5"/>
    <mergeCell ref="L5:R5"/>
    <mergeCell ref="S5:X5"/>
    <mergeCell ref="Z5:AC5"/>
    <mergeCell ref="AE5:AJ5"/>
    <mergeCell ref="A1:I2"/>
    <mergeCell ref="J1:AA1"/>
    <mergeCell ref="AB1:AJ2"/>
    <mergeCell ref="J2:AA2"/>
    <mergeCell ref="A3:I3"/>
    <mergeCell ref="J3:L3"/>
    <mergeCell ref="M3:R3"/>
    <mergeCell ref="S3:V3"/>
    <mergeCell ref="W3:AA3"/>
    <mergeCell ref="AB3:AJ3"/>
    <mergeCell ref="B8:K8"/>
    <mergeCell ref="L8:R8"/>
    <mergeCell ref="S8:X8"/>
    <mergeCell ref="Z8:AC8"/>
    <mergeCell ref="AE8:AJ8"/>
    <mergeCell ref="A9:R9"/>
    <mergeCell ref="S9:AJ9"/>
    <mergeCell ref="B6:K6"/>
    <mergeCell ref="L6:R6"/>
    <mergeCell ref="S6:X6"/>
    <mergeCell ref="Z6:AC6"/>
    <mergeCell ref="AE6:AJ6"/>
    <mergeCell ref="B7:K7"/>
    <mergeCell ref="L7:R7"/>
    <mergeCell ref="S7:X7"/>
    <mergeCell ref="Z7:AC7"/>
    <mergeCell ref="AE7:AJ7"/>
    <mergeCell ref="B10:K10"/>
    <mergeCell ref="L10:R10"/>
    <mergeCell ref="S10:AB10"/>
    <mergeCell ref="AC10:AJ10"/>
    <mergeCell ref="B11:K11"/>
    <mergeCell ref="S11:AB11"/>
    <mergeCell ref="AC11:AJ11"/>
    <mergeCell ref="P11:R11"/>
    <mergeCell ref="L11:O11"/>
    <mergeCell ref="B14:K14"/>
    <mergeCell ref="L14:R14"/>
    <mergeCell ref="S14:AB14"/>
    <mergeCell ref="AC14:AJ14"/>
    <mergeCell ref="B15:K15"/>
    <mergeCell ref="S15:AB15"/>
    <mergeCell ref="AC15:AJ15"/>
    <mergeCell ref="B12:K12"/>
    <mergeCell ref="L12:R12"/>
    <mergeCell ref="S12:AB12"/>
    <mergeCell ref="AC12:AJ12"/>
    <mergeCell ref="B13:K13"/>
    <mergeCell ref="L13:R13"/>
    <mergeCell ref="S13:AB13"/>
    <mergeCell ref="AC13:AJ13"/>
    <mergeCell ref="P15:R15"/>
    <mergeCell ref="L15:O15"/>
    <mergeCell ref="B18:K18"/>
    <mergeCell ref="L18:R18"/>
    <mergeCell ref="S18:AB18"/>
    <mergeCell ref="AC18:AJ18"/>
    <mergeCell ref="B19:K19"/>
    <mergeCell ref="L19:R19"/>
    <mergeCell ref="S19:AB19"/>
    <mergeCell ref="AC19:AJ19"/>
    <mergeCell ref="B16:K16"/>
    <mergeCell ref="L16:R16"/>
    <mergeCell ref="S16:AB16"/>
    <mergeCell ref="AC16:AJ16"/>
    <mergeCell ref="B17:K17"/>
    <mergeCell ref="L17:R17"/>
    <mergeCell ref="S17:AB17"/>
    <mergeCell ref="AC17:AJ17"/>
    <mergeCell ref="B22:K22"/>
    <mergeCell ref="L22:R22"/>
    <mergeCell ref="S22:AB22"/>
    <mergeCell ref="AC22:AJ22"/>
    <mergeCell ref="B23:K23"/>
    <mergeCell ref="L23:R23"/>
    <mergeCell ref="S23:AB23"/>
    <mergeCell ref="AC23:AJ23"/>
    <mergeCell ref="A20:R20"/>
    <mergeCell ref="S20:AJ20"/>
    <mergeCell ref="B21:K21"/>
    <mergeCell ref="L21:R21"/>
    <mergeCell ref="S21:AB21"/>
    <mergeCell ref="AC21:AJ21"/>
    <mergeCell ref="B26:K26"/>
    <mergeCell ref="L26:R26"/>
    <mergeCell ref="S26:AB26"/>
    <mergeCell ref="AC26:AJ26"/>
    <mergeCell ref="B27:K27"/>
    <mergeCell ref="L27:R27"/>
    <mergeCell ref="S27:AB27"/>
    <mergeCell ref="AC27:AJ27"/>
    <mergeCell ref="B24:K24"/>
    <mergeCell ref="L24:R24"/>
    <mergeCell ref="S24:AB24"/>
    <mergeCell ref="AC24:AJ24"/>
    <mergeCell ref="B25:K25"/>
    <mergeCell ref="L25:R25"/>
    <mergeCell ref="S25:AB25"/>
    <mergeCell ref="AC25:AJ25"/>
    <mergeCell ref="A28:R28"/>
    <mergeCell ref="S28:AJ28"/>
    <mergeCell ref="B29:K29"/>
    <mergeCell ref="L29:R29"/>
    <mergeCell ref="S29:V29"/>
    <mergeCell ref="W29:X29"/>
    <mergeCell ref="Y29:AD29"/>
    <mergeCell ref="AE29:AH29"/>
    <mergeCell ref="AI29:AJ29"/>
    <mergeCell ref="AI30:AJ30"/>
    <mergeCell ref="B31:K31"/>
    <mergeCell ref="L31:R31"/>
    <mergeCell ref="S31:V31"/>
    <mergeCell ref="W31:X31"/>
    <mergeCell ref="Y31:AD31"/>
    <mergeCell ref="AE31:AH31"/>
    <mergeCell ref="AI31:AJ31"/>
    <mergeCell ref="B30:K30"/>
    <mergeCell ref="L30:R30"/>
    <mergeCell ref="S30:V30"/>
    <mergeCell ref="W30:X30"/>
    <mergeCell ref="Y30:AD30"/>
    <mergeCell ref="AE30:AH30"/>
    <mergeCell ref="B34:H34"/>
    <mergeCell ref="J34:L34"/>
    <mergeCell ref="M34:P34"/>
    <mergeCell ref="S34:AB34"/>
    <mergeCell ref="AD34:AE34"/>
    <mergeCell ref="AF34:AH34"/>
    <mergeCell ref="A32:AJ32"/>
    <mergeCell ref="B33:H33"/>
    <mergeCell ref="J33:L33"/>
    <mergeCell ref="M33:P33"/>
    <mergeCell ref="S33:AB33"/>
    <mergeCell ref="AD33:AE33"/>
    <mergeCell ref="AF33:AH33"/>
    <mergeCell ref="AF36:AH36"/>
    <mergeCell ref="B37:H37"/>
    <mergeCell ref="J37:L37"/>
    <mergeCell ref="M37:P37"/>
    <mergeCell ref="S37:AB37"/>
    <mergeCell ref="AD37:AE37"/>
    <mergeCell ref="AF37:AH37"/>
    <mergeCell ref="B35:H35"/>
    <mergeCell ref="J35:L35"/>
    <mergeCell ref="M35:P35"/>
    <mergeCell ref="S35:AB35"/>
    <mergeCell ref="AD35:AH35"/>
    <mergeCell ref="B36:H36"/>
    <mergeCell ref="J36:L36"/>
    <mergeCell ref="M36:P36"/>
    <mergeCell ref="S36:AB36"/>
    <mergeCell ref="AD36:AE36"/>
    <mergeCell ref="B38:H38"/>
    <mergeCell ref="J38:P38"/>
    <mergeCell ref="S38:AB38"/>
    <mergeCell ref="AD38:AE38"/>
    <mergeCell ref="AF38:AH38"/>
    <mergeCell ref="B39:H39"/>
    <mergeCell ref="J39:L39"/>
    <mergeCell ref="M39:P39"/>
    <mergeCell ref="S39:AB39"/>
    <mergeCell ref="AD39:AH39"/>
    <mergeCell ref="B42:G42"/>
    <mergeCell ref="H42:R42"/>
    <mergeCell ref="S42:X42"/>
    <mergeCell ref="Y42:AJ42"/>
    <mergeCell ref="B43:G43"/>
    <mergeCell ref="H43:R43"/>
    <mergeCell ref="S43:X43"/>
    <mergeCell ref="Y43:AJ43"/>
    <mergeCell ref="B40:H40"/>
    <mergeCell ref="J40:L40"/>
    <mergeCell ref="M40:P40"/>
    <mergeCell ref="S40:AB40"/>
    <mergeCell ref="AD40:AH40"/>
    <mergeCell ref="A41:AJ41"/>
    <mergeCell ref="B46:G46"/>
    <mergeCell ref="H46:R46"/>
    <mergeCell ref="S46:X46"/>
    <mergeCell ref="Y46:AJ46"/>
    <mergeCell ref="B47:G47"/>
    <mergeCell ref="H47:R47"/>
    <mergeCell ref="S47:X47"/>
    <mergeCell ref="Y47:AJ47"/>
    <mergeCell ref="B44:G44"/>
    <mergeCell ref="H44:R44"/>
    <mergeCell ref="S44:X44"/>
    <mergeCell ref="Y44:AJ44"/>
    <mergeCell ref="B45:G45"/>
    <mergeCell ref="H45:R45"/>
    <mergeCell ref="S45:X45"/>
    <mergeCell ref="AF45:AJ45"/>
    <mergeCell ref="Y45:AE45"/>
    <mergeCell ref="A48:AJ48"/>
    <mergeCell ref="B49:G49"/>
    <mergeCell ref="H49:I49"/>
    <mergeCell ref="J49:K49"/>
    <mergeCell ref="L49:R49"/>
    <mergeCell ref="S49:X49"/>
    <mergeCell ref="Y49:Z49"/>
    <mergeCell ref="AA49:AB49"/>
    <mergeCell ref="AC49:AJ49"/>
    <mergeCell ref="AA50:AB50"/>
    <mergeCell ref="AC50:AJ50"/>
    <mergeCell ref="B51:G51"/>
    <mergeCell ref="H51:I51"/>
    <mergeCell ref="J51:K51"/>
    <mergeCell ref="L51:R51"/>
    <mergeCell ref="S51:X51"/>
    <mergeCell ref="Y51:Z51"/>
    <mergeCell ref="AA51:AB51"/>
    <mergeCell ref="AC51:AJ51"/>
    <mergeCell ref="B50:G50"/>
    <mergeCell ref="H50:I50"/>
    <mergeCell ref="J50:K50"/>
    <mergeCell ref="L50:R50"/>
    <mergeCell ref="S50:X50"/>
    <mergeCell ref="Y50:Z50"/>
    <mergeCell ref="AA54:AB54"/>
    <mergeCell ref="AC54:AJ54"/>
    <mergeCell ref="A55:AJ55"/>
    <mergeCell ref="B56:AJ56"/>
    <mergeCell ref="C58:AJ58"/>
    <mergeCell ref="B54:G54"/>
    <mergeCell ref="H54:I54"/>
    <mergeCell ref="J54:K54"/>
    <mergeCell ref="L54:R54"/>
    <mergeCell ref="S54:X54"/>
    <mergeCell ref="Y54:Z54"/>
    <mergeCell ref="B53:G53"/>
    <mergeCell ref="H53:I53"/>
    <mergeCell ref="J53:K53"/>
    <mergeCell ref="L53:R53"/>
    <mergeCell ref="S53:X53"/>
    <mergeCell ref="Y53:Z53"/>
    <mergeCell ref="AA53:AB53"/>
    <mergeCell ref="AC53:AJ53"/>
    <mergeCell ref="B52:G52"/>
    <mergeCell ref="H52:I52"/>
    <mergeCell ref="J52:K52"/>
    <mergeCell ref="L52:R52"/>
    <mergeCell ref="S52:X52"/>
    <mergeCell ref="Y52:Z52"/>
    <mergeCell ref="AA52:AB52"/>
    <mergeCell ref="AC52:AJ52"/>
  </mergeCells>
  <printOptions horizontalCentered="1"/>
  <pageMargins left="0.31496062992125984" right="0.31496062992125984" top="0.39370078740157483" bottom="0.39370078740157483" header="0.31496062992125984" footer="0.31496062992125984"/>
  <pageSetup paperSize="9" scale="93" fitToHeight="0" orientation="portrait" horizontalDpi="1200" verticalDpi="1200"/>
  <headerFooter scaleWithDoc="1" alignWithMargins="0" differentFirst="0" differentOddEven="0">
    <oddHeader>&amp;C
</oddHeader>
  </headerFooter>
  <rowBreaks count="1" manualBreakCount="1">
    <brk id="38" max="35" man="1"/>
  </rowBreaks>
  <drawing r:id="rId2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624" t="s">
        <v>461</v>
      </c>
    </row>
  </sheetData>
  <sheetProtection algorithmName="SHA-512" hashValue="JF8RmdlWAKw1yLRgPVJn3eH+oNcS3w4nBTwtvNRLR4vL73LmI+QpF/81zricet4mpRV+O1U3I7V/XLnDuhDCDw==" saltValue="Bjlg2JzeWTPuw6aFkevfxw==" spinCount="100000" sheet="1" objects="1" scenarios="1" pivotTables="1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SalarKia Soroush</dc:creator>
  <cp:lastModifiedBy>Bohlouli Hossein</cp:lastModifiedBy>
  <dcterms:created xsi:type="dcterms:W3CDTF">2019-10-22T06:11:28Z</dcterms:created>
  <dcterms:modified xsi:type="dcterms:W3CDTF">2021-05-11T04:49:57Z</dcterms:modified>
  <cp:lastPrinted>2020-02-05T07:32:06Z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